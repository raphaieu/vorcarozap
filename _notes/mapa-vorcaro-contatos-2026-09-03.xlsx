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926441ff7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e43ab186ee94f1d"/>
    <x:sheet xmlns:r="http://schemas.openxmlformats.org/officeDocument/2006/relationships" name="Pessoas A-Z" sheetId="2" r:id="Rd749314484844b29"/>
    <x:sheet xmlns:r="http://schemas.openxmlformats.org/officeDocument/2006/relationships" name="Método e fontes" sheetId="3" r:id="R898bd219c05d49d7"/>
    <x:sheet xmlns:r="http://schemas.openxmlformats.org/officeDocument/2006/relationships" name="Leitura rápida" sheetId="4" r:id="R967d0772774a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0">
    <x:font>
      <x:sz val="11"/>
      <x:name val="Carlito"/>
    </x:font>
    <x:font>
      <x:b/>
      <x:sz val="22"/>
      <x:color rgb="FFFFFFFF"/>
      <x:name val="Carlito"/>
    </x:font>
    <x:font>
      <x:i/>
      <x:sz val="11"/>
      <x:color rgb="FFFFFFFF"/>
      <x:name val="Carlito"/>
    </x:font>
    <x:font>
      <x:b/>
      <x:sz val="11"/>
      <x:color rgb="FF17233C"/>
      <x:name val="Carlito"/>
    </x:font>
    <x:font>
      <x:b/>
      <x:sz val="18"/>
      <x:color rgb="FF2457A6"/>
      <x:name val="Carlito"/>
    </x:font>
    <x:font>
      <x:b/>
      <x:sz val="13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7233C"/>
      <x:name val="Carlito"/>
    </x:font>
    <x:font>
      <x:b/>
      <x:sz val="19"/>
      <x:color rgb="FFFFFFFF"/>
      <x:name val="Carlito"/>
    </x:font>
    <x:font>
      <x:i/>
      <x:sz val="11"/>
      <x:color rgb="FF64748B"/>
      <x:name val="Carlito"/>
    </x:font>
    <x:font>
      <x:sz val="9"/>
      <x:color rgb="FF1F2937"/>
      <x:name val="Carlito"/>
    </x:font>
    <x:font>
      <x:b/>
      <x:sz val="9"/>
      <x:color rgb="FF17233C"/>
      <x:name val="Carlito"/>
    </x:font>
    <x:font>
      <x:sz val="8"/>
      <x:color rgb="FF2457A6"/>
      <x:name val="Carlito"/>
    </x:font>
    <x:font>
      <x:b/>
      <x:sz val="13"/>
      <x:color rgb="FF17233C"/>
      <x:name val="Carlito"/>
    </x:font>
    <x:font>
      <x:b/>
      <x:sz val="14"/>
      <x:color rgb="FF17233C"/>
      <x:name val="Carlito"/>
    </x:font>
    <x:font>
      <x:sz val="9"/>
      <x:color rgb="FF2457A6"/>
      <x:name val="Carlito"/>
    </x:font>
    <x:font>
      <x:b/>
      <x:sz val="18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2457A6"/>
      </x:patternFill>
    </x:fill>
    <x:fill>
      <x:patternFill patternType="solid">
        <x:fgColor rgb="FFDDEAF7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217A57"/>
      </x:patternFill>
    </x:fill>
    <x:fill>
      <x:patternFill patternType="solid">
        <x:fgColor rgb="FFF4B942"/>
      </x:patternFill>
    </x:fill>
    <x:fill>
      <x:patternFill patternType="solid">
        <x:fgColor rgb="FF8B5CF6"/>
      </x:patternFill>
    </x:fill>
    <x:fill>
      <x:patternFill patternType="solid">
        <x:fgColor rgb="FFB42318"/>
      </x:patternFill>
    </x:fill>
  </x:fills>
  <x:borders count="13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</x:border>
    <x:border>
      <x:top style="thin">
        <x:color rgb="FFD6DEE8"/>
      </x:top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</x:border>
    <x:border>
      <x:right style="thin">
        <x:color rgb="FFD6DEE8"/>
      </x:right>
    </x:border>
    <x:border>
      <x:left style="thin">
        <x:color rgb="FFD6DEE8"/>
      </x:left>
      <x:bottom style="thin">
        <x:color rgb="FFD6DEE8"/>
      </x:bottom>
    </x:border>
    <x:border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horizontal="center" wrapText="1"/>
    </x:xf>
    <x:xf numFmtId="0" fontId="9" fillId="7" borderId="1" xfId="0" applyNumberFormat="1" applyFont="1" applyFill="1" applyBorder="1" applyAlignment="1">
      <x:alignment horizontal="center" wrapText="1"/>
    </x:xf>
    <x:xf numFmtId="0" fontId="9" fillId="3" borderId="1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wrapText="1"/>
    </x:xf>
    <x:xf numFmtId="0" fontId="9" fillId="9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/>
    <x:xf numFmtId="0" fontId="12" fillId="6" borderId="10" xfId="0" applyNumberFormat="1" applyFont="1" applyFill="1" applyBorder="1"/>
    <x:xf numFmtId="0" fontId="12" fillId="6" borderId="11" xfId="0" applyNumberFormat="1" applyFont="1" applyFill="1" applyBorder="1"/>
    <x:xf numFmtId="0" fontId="12" fillId="6" borderId="12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vertical="top" wrapText="1"/>
    </x:xf>
    <x:xf numFmtId="0" fontId="13" fillId="6" borderId="1" xfId="0" applyNumberFormat="1" applyFont="1" applyFill="1" applyBorder="1" applyAlignment="1">
      <x:alignment vertical="top" wrapText="1"/>
    </x:xf>
    <x:xf numFmtId="0" fontId="14" fillId="6" borderId="1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  <x:xf numFmtId="200" fontId="14" fillId="6" borderId="1" xfId="0" applyNumberFormat="1" applyFont="1" applyFill="1" applyBorder="1" applyAlignment="1">
      <x:alignment vertical="top" wrapText="1"/>
    </x:xf>
    <x:xf numFmtId="200" fontId="14" fillId="0" borderId="1" xfId="0" applyNumberFormat="1" applyFont="1" applyFill="1" applyBorder="1" applyAlignment="1">
      <x:alignment vertical="top" wrapText="1"/>
    </x:xf>
    <x:xf numFmtId="200" fontId="14" fillId="6" borderId="1" xfId="0" applyNumberFormat="1" applyFont="1" applyFill="1" applyBorder="1" applyAlignment="1">
      <x:alignment horizontal="center" vertical="top" wrapText="1"/>
    </x:xf>
    <x:xf numFmtId="200" fontId="14" fillId="0" borderId="1" xfId="0" applyNumberFormat="1" applyFont="1" applyFill="1" applyBorder="1" applyAlignment="1">
      <x:alignment horizontal="center" vertical="top" wrapText="1"/>
    </x:xf>
    <x:xf numFmtId="0" fontId="15" fillId="6" borderId="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17" fillId="4" borderId="1" xfId="0" applyNumberFormat="1" applyFont="1" applyFill="1" applyBorder="1" applyAlignment="1">
      <x:alignment wrapText="1"/>
    </x:xf>
    <x:xf numFmtId="0" fontId="17" fillId="4" borderId="1" xfId="0" applyNumberFormat="1" applyFont="1" applyFill="1" applyBorder="1" applyAlignment="1">
      <x:alignment horizontal="center" wrapText="1"/>
    </x:xf>
    <x:xf numFmtId="0" fontId="18" fillId="0" borderId="1" xfId="0" applyNumberFormat="1" applyFont="1" applyFill="1" applyBorder="1" applyAlignment="1">
      <x:alignment wrapText="1"/>
    </x:xf>
    <x:xf numFmtId="0" fontId="19" fillId="2" borderId="0" xfId="0" applyNumberFormat="1" applyFont="1" applyFill="1" applyBorder="1"/>
    <x:xf numFmtId="0" fontId="19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2623F"/>
      </x:font>
      <x:fill>
        <x:patternFill patternType="solid">
          <x:bgColor rgb="FFDFF4E8"/>
        </x:patternFill>
      </x:fill>
    </x:dxf>
    <x:dxf>
      <x:font>
        <x:b/>
        <x:color rgb="FF174C91"/>
      </x:font>
      <x:fill>
        <x:patternFill patternType="solid">
          <x:bgColor rgb="FFE2ECFA"/>
        </x:patternFill>
      </x:fill>
    </x:dxf>
    <x:dxf>
      <x:font>
        <x:b/>
        <x:color rgb="FF805A00"/>
      </x:font>
      <x:fill>
        <x:patternFill patternType="solid">
          <x:bgColor rgb="FFFFF1C7"/>
        </x:patternFill>
      </x:fill>
    </x:dxf>
    <x:dxf>
      <x:font>
        <x:b/>
        <x:color rgb="FF5B21B6"/>
      </x:font>
      <x:fill>
        <x:patternFill patternType="solid">
          <x:bgColor rgb="FFEFE6FF"/>
        </x:patternFill>
      </x:fill>
    </x:dxf>
    <x:dxf>
      <x:font>
        <x:b/>
        <x:color rgb="FF9B1C1C"/>
      </x:font>
      <x:fill>
        <x:patternFill patternType="solid">
          <x:bgColor rgb="FFFD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a9854c2864651" /><Relationship Type="http://schemas.openxmlformats.org/officeDocument/2006/relationships/theme" Target="/xl/theme/theme1.xml" Id="R85f158568a5a4ea6" /><Relationship Type="http://schemas.openxmlformats.org/officeDocument/2006/relationships/sharedStrings" Target="/xl/sharedStrings.xml" Id="R5fdbd68150de4be0" /><Relationship Type="http://schemas.openxmlformats.org/officeDocument/2006/relationships/worksheet" Target="/xl/worksheets/sheet1.xml" Id="Rfe43ab186ee94f1d" /><Relationship Type="http://schemas.openxmlformats.org/officeDocument/2006/relationships/worksheet" Target="/xl/worksheets/sheet2.xml" Id="Rd749314484844b29" /><Relationship Type="http://schemas.openxmlformats.org/officeDocument/2006/relationships/worksheet" Target="/xl/worksheets/sheet3.xml" Id="R898bd219c05d49d7" /><Relationship Type="http://schemas.openxmlformats.org/officeDocument/2006/relationships/worksheet" Target="/xl/worksheets/sheet4.xml" Id="R967d0772774a4d77" /></Relationships>
</file>

<file path=xl/tables/table1.xml><?xml version="1.0" encoding="utf-8"?>
<x:table xmlns:x="http://schemas.openxmlformats.org/spreadsheetml/2006/main" id="1" name="MapaPessoas" displayName="MapaPessoas" ref="A6:M157" headerRowCount="1" totalsRowCount="0" totalsRowShown="0">
  <x:tableColumns count="13">
    <x:tableColumn id="1" name="Nome"/>
    <x:tableColumn id="2" name="Área"/>
    <x:tableColumn id="3" name="Cargo / papel"/>
    <x:tableColumn id="4" name="Grau de confirmação"/>
    <x:tableColumn id="5" name="Tipo de vínculo"/>
    <x:tableColumn id="6" name="O que está documentado"/>
    <x:tableColumn id="7" name="Contraponto / limite"/>
    <x:tableColumn id="8" name="Situação"/>
    <x:tableColumn id="9" name="Relevância (1–5)"/>
    <x:tableColumn id="10" name="Alcance"/>
    <x:tableColumn id="11" name="Por que importa"/>
    <x:tableColumn id="12" name="Fonte principal"/>
    <x:tableColumn id="13" name="Fonte adicio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594566388a41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36" hidden="0" customWidth="1"/>
    <x:col min="4" max="4" width="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3" t="str">
        <x:v>DANIEL VORCARO — MAPA DE CONTATOS E RELAÇÕES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6" t="str">
        <x:v>Data de corte: 03/09/2026 · Relação não é culpa · Contato salvo não é conversa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2" customHeight="1"/>
    <x:row r="5" ht="22" customHeight="1">
      <x:c r="A5" s="10" t="str">
        <x:v>Pessoas mapeadas</x:v>
      </x:c>
      <x:c r="B5" s="10" t="str">
        <x:v>Elo direto (A/B)</x:v>
      </x:c>
      <x:c r="C5" s="10" t="str">
        <x:v>Só agenda (C)</x:v>
      </x:c>
      <x:c r="E5" s="10" t="str">
        <x:v>Indireto (D)</x:v>
      </x:c>
      <x:c r="F5" s="10" t="str">
        <x:v>Fraco/corrigido (E)</x:v>
      </x:c>
      <x:c r="G5" s="10" t="str">
        <x:v>Relevância 5</x:v>
      </x:c>
      <x:c r="I5" s="44" t="str">
        <x:v>Como ler o grau</x:v>
      </x:c>
      <x:c r="J5" s="44"/>
      <x:c r="K5" s="44"/>
      <x:c r="L5" s="44"/>
    </x:row>
    <x:row r="6" ht="22" customHeight="1">
      <x:c r="A6" s="14" t="n">
        <x:f>COUNTA('Pessoas A-Z'!$A$7:$A$200)</x:f>
        <x:v>151</x:v>
      </x:c>
      <x:c r="B6" s="14" t="n">
        <x:f>COUNTIF('Pessoas A-Z'!$D$7:$D$200,"A — direto confirmado")+COUNTIF('Pessoas A-Z'!$D$7:$D$200,"B — direto documentado/controvertido")</x:f>
        <x:v>52</x:v>
      </x:c>
      <x:c r="C6" s="14" t="n">
        <x:f>COUNTIF('Pessoas A-Z'!$D$7:$D$200,"C — agenda apenas")</x:f>
        <x:v>42</x:v>
      </x:c>
      <x:c r="E6" s="14" t="n">
        <x:f>COUNTIF('Pessoas A-Z'!$D$7:$D$200,"D — indireto/potencial")</x:f>
        <x:v>34</x:v>
      </x:c>
      <x:c r="F6" s="14" t="n">
        <x:f>COUNTIF('Pessoas A-Z'!$D$7:$D$200,"E — fraco/ambíguo")+COUNTIF('Pessoas A-Z'!$D$7:$D$200,"E — fraco/corrigido")</x:f>
        <x:v>23</x:v>
      </x:c>
      <x:c r="G6" s="14" t="n">
        <x:f>COUNTIF('Pessoas A-Z'!$I$7:$I$200,5)</x:f>
        <x:v>30</x:v>
      </x:c>
      <x:c r="I6" s="50" t="str">
        <x:v>A</x:v>
      </x:c>
      <x:c r="J6" s="47" t="str">
        <x:v>Direto confirmado</x:v>
      </x:c>
      <x:c r="K6" s="47" t="str">
        <x:v>Encontro/mensagem/contrato admitido ou documentado</x:v>
      </x:c>
      <x:c r="L6" s="47" t="str">
        <x:v>Não implica culpa</x:v>
      </x:c>
    </x:row>
    <x:row r="7" ht="22" customHeight="1">
      <x:c r="I7" s="51" t="str">
        <x:v>B</x:v>
      </x:c>
      <x:c r="J7" s="47" t="str">
        <x:v>Direto controvertido</x:v>
      </x:c>
      <x:c r="K7" s="47" t="str">
        <x:v>Há material, mas contexto/finalidade é disputado</x:v>
      </x:c>
      <x:c r="L7" s="47" t="str">
        <x:v>Exige cautela</x:v>
      </x:c>
    </x:row>
    <x:row r="8" ht="22" customHeight="1">
      <x:c r="A8" s="15" t="str">
        <x:v>Conclusão curta</x:v>
      </x:c>
      <x:c r="B8" s="15"/>
      <x:c r="C8" s="15"/>
      <x:c r="D8" s="15"/>
      <x:c r="E8" s="15"/>
      <x:c r="F8" s="15"/>
      <x:c r="G8" s="15"/>
      <x:c r="I8" s="52" t="str">
        <x:v>C</x:v>
      </x:c>
      <x:c r="J8" s="47" t="str">
        <x:v>Agenda apenas</x:v>
      </x:c>
      <x:c r="K8" s="47" t="str">
        <x:v>Nome/número salvo, sem interação provada</x:v>
      </x:c>
      <x:c r="L8" s="47" t="str">
        <x:v>Não é conversa</x:v>
      </x:c>
    </x:row>
    <x:row r="9" ht="28" customHeight="1">
      <x:c r="A9" s="35" t="str">
        <x:v>A rede publicada é grande, mas heterogênea. A agenda periciada tem 84 registros brutos (inclui duplicidade), enquanto mensagens, contratos, reuniões e operações revelam uma segunda rede de intermediários. Os elos documentais mais fortes concentram-se em operadores que conectam Vorcaro a autoridades, negócios e eventos. O prestígio do cargo e a força da evidência são dimensões separadas.</x:v>
      </x:c>
      <x:c r="B9" s="36"/>
      <x:c r="C9" s="36"/>
      <x:c r="D9" s="36"/>
      <x:c r="E9" s="36"/>
      <x:c r="F9" s="36"/>
      <x:c r="G9" s="37"/>
      <x:c r="I9" s="53" t="str">
        <x:v>D</x:v>
      </x:c>
      <x:c r="J9" s="47" t="str">
        <x:v>Indireto/potencial</x:v>
      </x:c>
      <x:c r="K9" s="47" t="str">
        <x:v>Empresa, familiar, evento ou alegação</x:v>
      </x:c>
      <x:c r="L9" s="47" t="str">
        <x:v>Nexo fraco</x:v>
      </x:c>
    </x:row>
    <x:row r="10" ht="28" customHeight="1">
      <x:c r="A10" s="38"/>
      <x:c r="B10" s="39"/>
      <x:c r="C10" s="39"/>
      <x:c r="D10" s="39"/>
      <x:c r="E10" s="39"/>
      <x:c r="F10" s="39"/>
      <x:c r="G10" s="40"/>
      <x:c r="I10" s="54" t="str">
        <x:v>E</x:v>
      </x:c>
      <x:c r="J10" s="47" t="str">
        <x:v>Fraco/corrigido</x:v>
      </x:c>
      <x:c r="K10" s="47" t="str">
        <x:v>Alias, sinal isolado ou pista corrigida</x:v>
      </x:c>
      <x:c r="L10" s="47" t="str">
        <x:v>Não tratar como fato</x:v>
      </x:c>
    </x:row>
    <x:row r="11" ht="28" customHeight="1">
      <x:c r="A11" s="38"/>
      <x:c r="B11" s="39"/>
      <x:c r="C11" s="39"/>
      <x:c r="D11" s="39"/>
      <x:c r="E11" s="39"/>
      <x:c r="F11" s="39"/>
      <x:c r="G11" s="40"/>
    </x:row>
    <x:row r="12" ht="28" customHeight="1">
      <x:c r="A12" s="38"/>
      <x:c r="B12" s="39"/>
      <x:c r="C12" s="39"/>
      <x:c r="D12" s="39"/>
      <x:c r="E12" s="39"/>
      <x:c r="F12" s="39"/>
      <x:c r="G12" s="40"/>
    </x:row>
    <x:row r="13" ht="28" customHeight="1">
      <x:c r="A13" s="41"/>
      <x:c r="B13" s="42"/>
      <x:c r="C13" s="42"/>
      <x:c r="D13" s="42"/>
      <x:c r="E13" s="42"/>
      <x:c r="F13" s="42"/>
      <x:c r="G13" s="43"/>
    </x:row>
    <x:row r="14" ht="22" customHeight="1"/>
    <x:row r="15" ht="22" customHeight="1">
      <x:c r="A15" s="15" t="str">
        <x:v>Cinco nomes/elos para começar a leitura</x:v>
      </x:c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 ht="22" customHeight="1">
      <x:c r="A16" s="56" t="str">
        <x:v>Nome</x:v>
      </x:c>
      <x:c r="B16" s="56" t="str">
        <x:v>Papel</x:v>
      </x:c>
      <x:c r="C16" s="56" t="str">
        <x:v>Por que é central</x:v>
      </x:c>
      <x:c r="D16" s="56" t="str">
        <x:v>Grau</x:v>
      </x:c>
      <x:c r="E16" s="56" t="str">
        <x:v>Contraponto</x:v>
      </x:c>
      <x:c r="F16" s="56" t="str"/>
      <x:c r="G16" s="56" t="str"/>
      <x:c r="H16" s="56" t="str"/>
      <x:c r="I16" s="56" t="str"/>
      <x:c r="J16" s="56" t="str"/>
      <x:c r="K16" s="56" t="str"/>
      <x:c r="L16" s="56" t="str"/>
    </x:row>
    <x:row r="17" ht="22" customHeight="1">
      <x:c r="A17" s="47" t="str">
        <x:v>Fábio Faria</x:v>
      </x:c>
      <x:c r="B17" s="47" t="str">
        <x:v>Ponte política</x:v>
      </x:c>
      <x:c r="C17" s="47" t="str">
        <x:v>Intermedeia Vorcaro–Moraes e recomenda escritório</x:v>
      </x:c>
      <x:c r="D17" s="47" t="str">
        <x:v>A</x:v>
      </x:c>
      <x:c r="E17" s="47" t="str">
        <x:v>Confirma a ponte; nega discutir processos/valores</x:v>
      </x:c>
      <x:c r="F17" s="47" t="str"/>
      <x:c r="G17" s="47" t="str"/>
      <x:c r="H17" s="47" t="str"/>
      <x:c r="I17" s="47" t="str"/>
      <x:c r="J17" s="47" t="str"/>
      <x:c r="K17" s="47" t="str"/>
      <x:c r="L17" s="47" t="str"/>
    </x:row>
    <x:row r="18" ht="22" customHeight="1">
      <x:c r="A18" s="47" t="str">
        <x:v>Ciro Rocha Soares</x:v>
      </x:c>
      <x:c r="B18" s="47" t="str">
        <x:v>Ponte jurídica</x:v>
      </x:c>
      <x:c r="C18" s="47" t="str">
        <x:v>Interlocução com Gonet e André Mendonça</x:v>
      </x:c>
      <x:c r="D18" s="47" t="str">
        <x:v>A</x:v>
      </x:c>
      <x:c r="E18" s="47" t="str">
        <x:v>Material não prova êxito ou finalidade ilícita</x:v>
      </x:c>
      <x:c r="F18" s="47" t="str"/>
      <x:c r="G18" s="47" t="str"/>
      <x:c r="H18" s="47" t="str"/>
      <x:c r="I18" s="47" t="str"/>
      <x:c r="J18" s="47" t="str"/>
      <x:c r="K18" s="47" t="str"/>
      <x:c r="L18" s="47" t="str"/>
    </x:row>
    <x:row r="19" ht="22" customHeight="1">
      <x:c r="A19" s="47" t="str">
        <x:v>Alexandre de Moraes</x:v>
      </x:c>
      <x:c r="B19" s="47" t="str">
        <x:v>Autoridade de cúpula</x:v>
      </x:c>
      <x:c r="C19" s="47" t="str">
        <x:v>Reuniões, mensagens e contrato ligado à família</x:v>
      </x:c>
      <x:c r="D19" s="47" t="str">
        <x:v>A</x:v>
      </x:c>
      <x:c r="E19" s="47" t="str">
        <x:v>Nega tratar Master no BC; escritório defende legalidade</x:v>
      </x:c>
      <x:c r="F19" s="47" t="str"/>
      <x:c r="G19" s="47" t="str"/>
      <x:c r="H19" s="47" t="str"/>
      <x:c r="I19" s="47" t="str"/>
      <x:c r="J19" s="47" t="str"/>
      <x:c r="K19" s="47" t="str"/>
      <x:c r="L19" s="47" t="str"/>
    </x:row>
    <x:row r="20" ht="22" customHeight="1">
      <x:c r="A20" s="47" t="str">
        <x:v>Ciro Nogueira</x:v>
      </x:c>
      <x:c r="B20" s="47" t="str">
        <x:v>Ponte partidária</x:v>
      </x:c>
      <x:c r="C20" s="47" t="str">
        <x:v>Proximidade, viagens e pagamentos alegados</x:v>
      </x:c>
      <x:c r="D20" s="47" t="str">
        <x:v>A</x:v>
      </x:c>
      <x:c r="E20" s="47" t="str">
        <x:v>Nega vantagens/favores e irregularidades</x:v>
      </x:c>
      <x:c r="F20" s="47" t="str"/>
      <x:c r="G20" s="47" t="str"/>
      <x:c r="H20" s="47" t="str"/>
      <x:c r="I20" s="47" t="str"/>
      <x:c r="J20" s="47" t="str"/>
      <x:c r="K20" s="47" t="str"/>
      <x:c r="L20" s="47" t="str"/>
    </x:row>
    <x:row r="21" ht="22" customHeight="1">
      <x:c r="A21" s="47" t="str">
        <x:v>Guido Mantega</x:v>
      </x:c>
      <x:c r="B21" s="47" t="str">
        <x:v>Ponte econômica</x:v>
      </x:c>
      <x:c r="C21" s="47" t="str">
        <x:v>Consultoria e reunião no Planalto</x:v>
      </x:c>
      <x:c r="D21" s="47" t="str">
        <x:v>A</x:v>
      </x:c>
      <x:c r="E21" s="47" t="str">
        <x:v>Consultoria não prova irregularidade</x:v>
      </x:c>
      <x:c r="F21" s="47" t="str"/>
      <x:c r="G21" s="47" t="str"/>
      <x:c r="H21" s="47" t="str"/>
      <x:c r="I21" s="47" t="str"/>
      <x:c r="J21" s="47" t="str"/>
      <x:c r="K21" s="47" t="str"/>
      <x:c r="L21" s="47" t="str"/>
    </x:row>
  </x:sheetData>
  <x:mergeCells>
    <x:mergeCell ref="A1:L2"/>
    <x:mergeCell ref="A3:L3"/>
    <x:mergeCell ref="A8:G8"/>
    <x:mergeCell ref="A9:G13"/>
    <x:mergeCell ref="I5:L5"/>
    <x:mergeCell ref="A15:L15"/>
    <x:mergeCell ref="E17:L17"/>
    <x:mergeCell ref="E18:L18"/>
    <x:mergeCell ref="E19:L19"/>
    <x:mergeCell ref="E20:L20"/>
    <x:mergeCell ref="E21:L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22" hidden="0" customWidth="1"/>
    <x:col min="5" max="5" width="22" hidden="0" customWidth="1"/>
    <x:col min="6" max="6" width="52" hidden="0" customWidth="1"/>
    <x:col min="7" max="7" width="52" hidden="0" customWidth="1"/>
    <x:col min="8" max="8" width="32" hidden="0" customWidth="1"/>
    <x:col min="9" max="9" width="14" hidden="0" customWidth="1"/>
    <x:col min="10" max="10" width="20" hidden="0" customWidth="1"/>
    <x:col min="11" max="11" width="42" hidden="0" customWidth="1"/>
    <x:col min="12" max="12" width="38" hidden="0" customWidth="1"/>
    <x:col min="13" max="13" width="38" hidden="0" customWidth="1"/>
  </x:cols>
  <x:sheetData>
    <x:row r="1" ht="25" customHeight="1">
      <x:c r="A1" s="58" t="str">
        <x:v>PESSOAS A–Z — EVIDÊNCIA, CARGO E RELEVÂNCIA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</x:row>
    <x:row r="2" ht="25" customHeight="1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</x:row>
    <x:row r="3" ht="25" customHeight="1">
      <x:c r="A3" s="5" t="str">
        <x:v>Use os filtros. Grau mede a força do elo; nota 1–5 mede influência — nunca culpa.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5">
      <x:c r="A5" s="60" t="str">
        <x:v>Data de corte: 03/09/2026 · Nomes ambíguos não foram identificados por palpite · Contrapontos preservados</x:v>
      </x:c>
      <x:c r="B5" s="61"/>
      <x:c r="C5" s="61"/>
      <x:c r="D5" s="61"/>
      <x:c r="E5" s="61"/>
      <x:c r="F5" s="61"/>
      <x:c r="G5" s="61"/>
      <x:c r="H5" s="61"/>
      <x:c r="I5" s="61"/>
      <x:c r="J5" s="61"/>
      <x:c r="K5" s="61"/>
      <x:c r="L5" s="61"/>
      <x:c r="M5" s="62"/>
    </x:row>
    <x:row r="6" ht="36" customHeight="1">
      <x:c r="A6" s="67" t="str">
        <x:v>Nome</x:v>
      </x:c>
      <x:c r="B6" s="67" t="str">
        <x:v>Área</x:v>
      </x:c>
      <x:c r="C6" s="67" t="str">
        <x:v>Cargo / papel</x:v>
      </x:c>
      <x:c r="D6" s="67" t="str">
        <x:v>Grau de confirmação</x:v>
      </x:c>
      <x:c r="E6" s="67" t="str">
        <x:v>Tipo de vínculo</x:v>
      </x:c>
      <x:c r="F6" s="67" t="str">
        <x:v>O que está documentado</x:v>
      </x:c>
      <x:c r="G6" s="67" t="str">
        <x:v>Contraponto / limite</x:v>
      </x:c>
      <x:c r="H6" s="67" t="str">
        <x:v>Situação</x:v>
      </x:c>
      <x:c r="I6" s="67" t="str">
        <x:v>Relevância (1–5)</x:v>
      </x:c>
      <x:c r="J6" s="67" t="str">
        <x:v>Alcance</x:v>
      </x:c>
      <x:c r="K6" s="67" t="str">
        <x:v>Por que importa</x:v>
      </x:c>
      <x:c r="L6" s="67" t="str">
        <x:v>Fonte principal</x:v>
      </x:c>
      <x:c r="M6" s="67" t="str">
        <x:v>Fonte adicional</x:v>
      </x:c>
    </x:row>
    <x:row r="7" ht="54" customHeight="1">
      <x:c r="A7" s="72" t="str">
        <x:v>Ailton Aquino</x:v>
      </x:c>
      <x:c r="B7" s="72" t="str">
        <x:v>Banco Central</x:v>
      </x:c>
      <x:c r="C7" s="72" t="str">
        <x:v>Diretor de Fiscalização do BC</x:v>
      </x:c>
      <x:c r="D7" s="72" t="str">
        <x:v>C — agenda apenas</x:v>
      </x:c>
      <x:c r="E7" s="72" t="str">
        <x:v>Contato salvo</x:v>
      </x:c>
      <x:c r="F7" s="72" t="str">
        <x:v>Nome aparece entre os contatos extraídos dos aparelhos/material de Vorcaro.</x:v>
      </x:c>
      <x:c r="G7" s="72" t="str">
        <x:v>A fonte não demonstra conversa, favor ou irregularidade.</x:v>
      </x:c>
      <x:c r="H7" s="72" t="str">
        <x:v>Sem imputação identificada na fonte-base</x:v>
      </x:c>
      <x:c r="I7" s="77" t="n">
        <x:v>4</x:v>
      </x:c>
      <x:c r="J7" s="72" t="str">
        <x:v>Nacional</x:v>
      </x:c>
      <x:c r="K7" s="72" t="str">
        <x:v>Supervisiona instituições financeiras; alto poder regulatório.</x:v>
      </x:c>
      <x:c r="L7" s="79" t="str">
        <x:v>https://www.poder360.com.br/poder-justica/agenda-de-vorcaro-tinha-toffoli-moraes-e-nunes-marques-leia-a-lista/</x:v>
      </x:c>
      <x:c r="M7" s="79" t="str"/>
    </x:row>
    <x:row r="8" ht="54" customHeight="1">
      <x:c r="A8" s="71" t="str">
        <x:v>Alan TI</x:v>
      </x:c>
      <x:c r="B8" s="71" t="str">
        <x:v>Identidade incerta</x:v>
      </x:c>
      <x:c r="C8" s="71" t="str">
        <x:v>Contato/alcunha; identidade pública não confirmada</x:v>
      </x:c>
      <x:c r="D8" s="71" t="str">
        <x:v>E — fraco/ambíguo</x:v>
      </x:c>
      <x:c r="E8" s="71" t="str">
        <x:v>Contato salvo</x:v>
      </x:c>
      <x:c r="F8" s="71" t="str">
        <x:v>Rótulo aparece no material periciado.</x:v>
      </x:c>
      <x:c r="G8" s="71" t="str">
        <x:v>Não foi possível identificar a pessoa com segurança; não confundir alcunha com nome civil.</x:v>
      </x:c>
      <x:c r="H8" s="71" t="str">
        <x:v>Identidade não confirmada</x:v>
      </x:c>
      <x:c r="I8" s="78" t="n">
        <x:v>1</x:v>
      </x:c>
      <x:c r="J8" s="71" t="str">
        <x:v>Indeterminado</x:v>
      </x:c>
      <x:c r="K8" s="71" t="str">
        <x:v>Sem base para avaliar influência.</x:v>
      </x:c>
      <x:c r="L8" s="80" t="str">
        <x:v>https://www.poder360.com.br/poder-justica/agenda-de-vorcaro-tinha-toffoli-moraes-e-nunes-marques-leia-a-lista/</x:v>
      </x:c>
      <x:c r="M8" s="80" t="str"/>
    </x:row>
    <x:row r="9" ht="54" customHeight="1">
      <x:c r="A9" s="72" t="str">
        <x:v>Alex Allard</x:v>
      </x:c>
      <x:c r="B9" s="72" t="str">
        <x:v>Negócios</x:v>
      </x:c>
      <x:c r="C9" s="72" t="str">
        <x:v>Empresário; fundador da Cidade Matarazzo</x:v>
      </x:c>
      <x:c r="D9" s="72" t="str">
        <x:v>C — agenda apenas</x:v>
      </x:c>
      <x:c r="E9" s="72" t="str">
        <x:v>Contato salvo</x:v>
      </x:c>
      <x:c r="F9" s="72" t="str">
        <x:v>Nome aparece na agenda periciada.</x:v>
      </x:c>
      <x:c r="G9" s="72" t="str">
        <x:v>A fonte-base não comprova interação nem irregularidade.</x:v>
      </x:c>
      <x:c r="H9" s="72" t="str">
        <x:v>Sem imputação identificada na fonte-base</x:v>
      </x:c>
      <x:c r="I9" s="77" t="n">
        <x:v>3</x:v>
      </x:c>
      <x:c r="J9" s="72" t="str">
        <x:v>Setorial/internacional</x:v>
      </x:c>
      <x:c r="K9" s="72" t="str">
        <x:v>Projeto imobiliário e de luxo com capital e visibilidade internacionais.</x:v>
      </x:c>
      <x:c r="L9" s="79" t="str">
        <x:v>https://www.poder360.com.br/poder-justica/agenda-de-vorcaro-tinha-toffoli-moraes-e-nunes-marques-leia-a-lista/</x:v>
      </x:c>
      <x:c r="M9" s="79" t="str"/>
    </x:row>
    <x:row r="10" ht="54" customHeight="1">
      <x:c r="A10" s="71" t="str">
        <x:v>Alexandre Bacelar</x:v>
      </x:c>
      <x:c r="B10" s="71" t="str">
        <x:v>Negócios</x:v>
      </x:c>
      <x:c r="C10" s="71" t="str">
        <x:v>Executivo; vice-presidente de Assuntos Estratégicos da Esfera</x:v>
      </x:c>
      <x:c r="D10" s="71" t="str">
        <x:v>C — agenda apenas</x:v>
      </x:c>
      <x:c r="E10" s="71" t="str">
        <x:v>Contato salvo</x:v>
      </x:c>
      <x:c r="F10" s="71" t="str">
        <x:v>Nome aparece na agenda periciada.</x:v>
      </x:c>
      <x:c r="G10" s="71" t="str">
        <x:v>A fonte-base não comprova interação nem irregularidade.</x:v>
      </x:c>
      <x:c r="H10" s="71" t="str">
        <x:v>Sem imputação identificada na fonte-base</x:v>
      </x:c>
      <x:c r="I10" s="78" t="n">
        <x:v>3</x:v>
      </x:c>
      <x:c r="J10" s="71" t="str">
        <x:v>Nacional</x:v>
      </x:c>
      <x:c r="K10" s="71" t="str">
        <x:v>Atuação estratégica em grupo empresarial de grande porte.</x:v>
      </x:c>
      <x:c r="L10" s="80" t="str">
        <x:v>https://www.poder360.com.br/poder-justica/agenda-de-vorcaro-tinha-toffoli-moraes-e-nunes-marques-leia-a-lista/</x:v>
      </x:c>
      <x:c r="M10" s="80" t="str"/>
    </x:row>
    <x:row r="11" ht="54" customHeight="1">
      <x:c r="A11" s="72" t="str">
        <x:v>Alexandre Cordeiro</x:v>
      </x:c>
      <x:c r="B11" s="72" t="str">
        <x:v>Regulação</x:v>
      </x:c>
      <x:c r="C11" s="72" t="str">
        <x:v>Presidente do Cade no período dos eventos citados</x:v>
      </x:c>
      <x:c r="D11" s="72" t="str">
        <x:v>D — indireto/potencial</x:v>
      </x:c>
      <x:c r="E11" s="72" t="str">
        <x:v>Evento patrocinado</x:v>
      </x:c>
      <x:c r="F11" s="72" t="str">
        <x:v>Listado entre autoridades presentes em eventos internacionais financiados pelo Master.</x:v>
      </x:c>
      <x:c r="G11" s="72" t="str">
        <x:v>Presença em evento não prova relação pessoal, contrapartida ou ilícito.</x:v>
      </x:c>
      <x:c r="H11" s="72" t="str">
        <x:v>Sem imputação individual indicada</x:v>
      </x:c>
      <x:c r="I11" s="77" t="n">
        <x:v>4</x:v>
      </x:c>
      <x:c r="J11" s="72" t="str">
        <x:v>Nacional</x:v>
      </x:c>
      <x:c r="K11" s="72" t="str">
        <x:v>Chefia a autoridade antitruste brasileira.</x:v>
      </x:c>
      <x:c r="L11" s="79" t="str">
        <x:v>https://www1.folha.uol.com.br/mercado/2026/04/master-gastou-r-60-milhoes-com-autoridades-da-republica-em-londres-nova-york-e-lisboa.shtml</x:v>
      </x:c>
      <x:c r="M11" s="79" t="str"/>
    </x:row>
    <x:row r="12" ht="54" customHeight="1">
      <x:c r="A12" s="71" t="str">
        <x:v>Alexandre de Moraes</x:v>
      </x:c>
      <x:c r="B12" s="71" t="str">
        <x:v>Judiciário</x:v>
      </x:c>
      <x:c r="C12" s="71" t="str">
        <x:v>Ministro do STF</x:v>
      </x:c>
      <x:c r="D12" s="71" t="str">
        <x:v>A — direto confirmado</x:v>
      </x:c>
      <x:c r="E12" s="71" t="str">
        <x:v>Agenda, reuniões, mensagens e contrato ligado à família</x:v>
      </x:c>
      <x:c r="F12" s="71" t="str">
        <x:v>Relatório da PF registra contato salvo, intermediação de Fábio Faria e ao menos seis encontros/registros presenciais; o escritório de sua esposa contratou com o Master.</x:v>
      </x:c>
      <x:c r="G12" s="71" t="str">
        <x:v>Moraes nega tratar de interesses do banco no BC; o escritório afirma serviços lícitos e diz que segunda proposta não foi aceita. Mensagens abrem linha investigativa, não provam atuação ilícita.</x:v>
      </x:c>
      <x:c r="H12" s="71" t="str">
        <x:v>Citado em relatório; sem conclusão de culpa</x:v>
      </x:c>
      <x:c r="I12" s="78" t="n">
        <x:v>5</x:v>
      </x:c>
      <x:c r="J12" s="71" t="str">
        <x:v>Nacional/global</x:v>
      </x:c>
      <x:c r="K12" s="71" t="str">
        <x:v>Ministro da corte constitucional; decisões têm impacto nacional e projeção internacional.</x:v>
      </x:c>
      <x:c r="L12" s="80" t="str">
        <x:v>https://static.poder360.com.br/uploads/2026/09/pet16662_relatorio_pf_celular_vorcaro_moraes_gonet_andrei_barci.pdf</x:v>
      </x:c>
      <x:c r="M12" s="80" t="str">
        <x:v>https://www.gazetadopovo.com.br/ideias/moraes-gonet-veja-lista-atualizada-quem-envolveu-vorcaro/</x:v>
      </x:c>
    </x:row>
    <x:row r="13" ht="54" customHeight="1">
      <x:c r="A13" s="72" t="str">
        <x:v>André Mendonça</x:v>
      </x:c>
      <x:c r="B13" s="72" t="str">
        <x:v>Judiciário</x:v>
      </x:c>
      <x:c r="C13" s="72" t="str">
        <x:v>Ministro do STF</x:v>
      </x:c>
      <x:c r="D13" s="72" t="str">
        <x:v>A — direto confirmado</x:v>
      </x:c>
      <x:c r="E13" s="72" t="str">
        <x:v>Reunião</x:v>
      </x:c>
      <x:c r="F13" s="72" t="str">
        <x:v>Admitiu reunião em março de 2025, articulada por Ciro Rocha Soares e Cezinha de Madureira, sobre caso de precatórios ligado ao banco.</x:v>
      </x:c>
      <x:c r="G13" s="72" t="str">
        <x:v>Diz que apenas ouviu os interessados e depois votou contra a posição do banco.</x:v>
      </x:c>
      <x:c r="H13" s="72" t="str">
        <x:v>Contato admitido; sem imputação de ilícito concluída</x:v>
      </x:c>
      <x:c r="I13" s="77" t="n">
        <x:v>5</x:v>
      </x:c>
      <x:c r="J13" s="72" t="str">
        <x:v>Nacional/global</x:v>
      </x:c>
      <x:c r="K13" s="72" t="str">
        <x:v>Ministro da corte constitucional brasileira.</x:v>
      </x:c>
      <x:c r="L13" s="79" t="str">
        <x:v>https://iclnoticias.com.br/vaza-mendonca-mensagens-e-audios-ineditos/</x:v>
      </x:c>
      <x:c r="M13" s="79" t="str">
        <x:v>https://www.gazetadopovo.com.br/ideias/moraes-gonet-veja-lista-atualizada-quem-envolveu-vorcaro/</x:v>
      </x:c>
    </x:row>
    <x:row r="14" ht="54" customHeight="1">
      <x:c r="A14" s="71" t="str">
        <x:v>André Valadão</x:v>
      </x:c>
      <x:c r="B14" s="71" t="str">
        <x:v>Religião/Política</x:v>
      </x:c>
      <x:c r="C14" s="71" t="str">
        <x:v>Pastor e líder religioso</x:v>
      </x:c>
      <x:c r="D14" s="71" t="str">
        <x:v>D — indireto/potencial</x:v>
      </x:c>
      <x:c r="E14" s="71" t="str">
        <x:v>Intermediação</x:v>
      </x:c>
      <x:c r="F14" s="71" t="str">
        <x:v>É citado como ponte para aproximação entre Nikolas Ferreira e Vorcaro.</x:v>
      </x:c>
      <x:c r="G14" s="71" t="str">
        <x:v>A intermediação, isoladamente, não indica benefício ou irregularidade.</x:v>
      </x:c>
      <x:c r="H14" s="71" t="str">
        <x:v>Citado por terceiros</x:v>
      </x:c>
      <x:c r="I14" s="78" t="n">
        <x:v>3</x:v>
      </x:c>
      <x:c r="J14" s="71" t="str">
        <x:v>Nacional</x:v>
      </x:c>
      <x:c r="K14" s="71" t="str">
        <x:v>Grande alcance religioso e digital; influência sobre público evangélico.</x:v>
      </x:c>
      <x:c r="L14" s="80" t="str">
        <x:v>https://noticias.uol.com.br/politica/ultimas-noticias/2026/09/03/nikolas-ferreira-daniel-vorcaro-resposta.ghtm</x:v>
      </x:c>
      <x:c r="M14" s="80" t="str"/>
    </x:row>
    <x:row r="15" ht="54" customHeight="1">
      <x:c r="A15" s="72" t="str">
        <x:v>Andréa Lima Novaes</x:v>
      </x:c>
      <x:c r="B15" s="72" t="str">
        <x:v>Negócios</x:v>
      </x:c>
      <x:c r="C15" s="72" t="str">
        <x:v>Empresária; alvo citado na 9ª fase</x:v>
      </x:c>
      <x:c r="D15" s="72" t="str">
        <x:v>D — indireto/potencial</x:v>
      </x:c>
      <x:c r="E15" s="72" t="str">
        <x:v>Operação policial</x:v>
      </x:c>
      <x:c r="F15" s="72" t="str">
        <x:v>Apontada entre alvos da fase ligada a supostas operações financeiras do grupo.</x:v>
      </x:c>
      <x:c r="G15" s="72" t="str">
        <x:v>Ser alvo de busca/investigação não equivale a condenação.</x:v>
      </x:c>
      <x:c r="H15" s="72" t="str">
        <x:v>Alvo/investigada; presunção de inocência</x:v>
      </x:c>
      <x:c r="I15" s="77" t="n">
        <x:v>2</x:v>
      </x:c>
      <x:c r="J15" s="72" t="str">
        <x:v>Setorial</x:v>
      </x:c>
      <x:c r="K15" s="72" t="str">
        <x:v>Possível elo operacional em estruturas empresariais investigadas.</x:v>
      </x:c>
      <x:c r="L15" s="79" t="str">
        <x:v>https://www.cnnbrasil.com.br/politica/veja-quem-sao-os-oito-alvos-da-nova-fase-da-operacao-do-caso-master/</x:v>
      </x:c>
      <x:c r="M15" s="79" t="str">
        <x:v>https://noticias.stf.jus.br/postsnoticias/stf-autoriza-9a-fase-da-operacao-compliance-zero-em-sp-ba-e-df/</x:v>
      </x:c>
    </x:row>
    <x:row r="16" ht="54" customHeight="1">
      <x:c r="A16" s="71" t="str">
        <x:v>Andrei Rodrigues</x:v>
      </x:c>
      <x:c r="B16" s="71" t="str">
        <x:v>Segurança pública</x:v>
      </x:c>
      <x:c r="C16" s="71" t="str">
        <x:v>Diretor-geral da Polícia Federal</x:v>
      </x:c>
      <x:c r="D16" s="71" t="str">
        <x:v>B — direto documentado/controvertido</x:v>
      </x:c>
      <x:c r="E16" s="71" t="str">
        <x:v>Convite/evento e menções em mensagens</x:v>
      </x:c>
      <x:c r="F16" s="71" t="str">
        <x:v>Relatório registra participação em fórum custeado por organizadores e mensagens em que Vorcaro queria reforçar pedidos junto a 'Andrei e Paulo'. Não foi localizado contato direto salvo sob seu nome.</x:v>
      </x:c>
      <x:c r="G16" s="71" t="str">
        <x:v>Não há evidência publicada de que tenha atendido qualquer pedido; despesas de evento não foram descritas como remuneração.</x:v>
      </x:c>
      <x:c r="H16" s="71" t="str">
        <x:v>Citado em relatório; sem ato favorável demonstrado</x:v>
      </x:c>
      <x:c r="I16" s="78" t="n">
        <x:v>5</x:v>
      </x:c>
      <x:c r="J16" s="71" t="str">
        <x:v>Nacional/internacional</x:v>
      </x:c>
      <x:c r="K16" s="71" t="str">
        <x:v>Comanda a Polícia Federal, órgão central da investigação.</x:v>
      </x:c>
      <x:c r="L16" s="80" t="str">
        <x:v>https://static.poder360.com.br/uploads/2026/09/pet16662_relatorio_pf_celular_vorcaro_moraes_gonet_andrei_barci.pdf</x:v>
      </x:c>
      <x:c r="M16" s="80" t="str">
        <x:v>https://www.gazetadopovo.com.br/ideias/moraes-gonet-veja-lista-atualizada-quem-envolveu-vorcaro/</x:v>
      </x:c>
    </x:row>
    <x:row r="17" ht="54" customHeight="1">
      <x:c r="A17" s="72" t="str">
        <x:v>Angelo Antonio Ribeiro da Silva</x:v>
      </x:c>
      <x:c r="B17" s="72" t="str">
        <x:v>Banco Master</x:v>
      </x:c>
      <x:c r="C17" s="72" t="str">
        <x:v>Executivo/representante do Master em contratos</x:v>
      </x:c>
      <x:c r="D17" s="72" t="str">
        <x:v>A — direto confirmado</x:v>
      </x:c>
      <x:c r="E17" s="72" t="str">
        <x:v>Relação operacional e assinatura de contrato</x:v>
      </x:c>
      <x:c r="F17" s="72" t="str">
        <x:v>Relatório da PF o identifica como signatário, ao lado de Vorcaro, do contrato com o escritório Barci de Moraes.</x:v>
      </x:c>
      <x:c r="G17" s="72" t="str">
        <x:v>O documento prova papel contratual, não ilicitude por si só.</x:v>
      </x:c>
      <x:c r="H17" s="72" t="str">
        <x:v>Operador citado em relatório</x:v>
      </x:c>
      <x:c r="I17" s="77" t="n">
        <x:v>3</x:v>
      </x:c>
      <x:c r="J17" s="72" t="str">
        <x:v>Nacional/setorial</x:v>
      </x:c>
      <x:c r="K17" s="72" t="str">
        <x:v>Executivo interno com papel formal em relação contratual sensível.</x:v>
      </x:c>
      <x:c r="L17" s="79" t="str">
        <x:v>https://static.poder360.com.br/uploads/2026/09/pet16662_relatorio_pf_celular_vorcaro_moraes_gonet_andrei_barci.pdf</x:v>
      </x:c>
      <x:c r="M17" s="79" t="str"/>
    </x:row>
    <x:row r="18" ht="54" customHeight="1">
      <x:c r="A18" s="71" t="str">
        <x:v>Aníbal Vidal</x:v>
      </x:c>
      <x:c r="B18" s="71" t="str">
        <x:v>Ministério Público</x:v>
      </x:c>
      <x:c r="C18" s="71" t="str">
        <x:v>Procurador da República</x:v>
      </x:c>
      <x:c r="D18" s="71" t="str">
        <x:v>C — agenda apenas</x:v>
      </x:c>
      <x:c r="E18" s="71" t="str">
        <x:v>Contato salvo</x:v>
      </x:c>
      <x:c r="F18" s="71" t="str">
        <x:v>Nome aparece na agenda periciada.</x:v>
      </x:c>
      <x:c r="G18" s="71" t="str">
        <x:v>Nenhuma interação ou irregularidade é demonstrada pela fonte-base.</x:v>
      </x:c>
      <x:c r="H18" s="71" t="str">
        <x:v>Sem imputação identificada na fonte-base</x:v>
      </x:c>
      <x:c r="I18" s="78" t="n">
        <x:v>3</x:v>
      </x:c>
      <x:c r="J18" s="71" t="str">
        <x:v>Nacional/setorial</x:v>
      </x:c>
      <x:c r="K18" s="71" t="str">
        <x:v>Membro do MPF com poder de investigação e persecução federal.</x:v>
      </x:c>
      <x:c r="L18" s="80" t="str">
        <x:v>https://www.poder360.com.br/poder-justica/agenda-de-vorcaro-tinha-toffoli-moraes-e-nunes-marques-leia-a-lista/</x:v>
      </x:c>
      <x:c r="M18" s="80" t="str"/>
    </x:row>
    <x:row r="19" ht="54" customHeight="1">
      <x:c r="A19" s="72" t="str">
        <x:v>Antônio Carlos de Almeida Castro (Kakay)</x:v>
      </x:c>
      <x:c r="B19" s="72" t="str">
        <x:v>Advocacia</x:v>
      </x:c>
      <x:c r="C19" s="72" t="str">
        <x:v>Advogado criminalista</x:v>
      </x:c>
      <x:c r="D19" s="72" t="str">
        <x:v>C — agenda apenas</x:v>
      </x:c>
      <x:c r="E19" s="72" t="str">
        <x:v>Contato salvo</x:v>
      </x:c>
      <x:c r="F19" s="72" t="str">
        <x:v>Nome aparece na agenda periciada.</x:v>
      </x:c>
      <x:c r="G19" s="72" t="str">
        <x:v>A fonte-base não demonstra contratação, conversa ou irregularidade.</x:v>
      </x:c>
      <x:c r="H19" s="72" t="str">
        <x:v>Sem imputação identificada na fonte-base</x:v>
      </x:c>
      <x:c r="I19" s="77" t="n">
        <x:v>4</x:v>
      </x:c>
      <x:c r="J19" s="72" t="str">
        <x:v>Nacional</x:v>
      </x:c>
      <x:c r="K19" s="72" t="str">
        <x:v>Advogado de alta projeção em tribunais superiores e casos políticos.</x:v>
      </x:c>
      <x:c r="L19" s="79" t="str">
        <x:v>https://www.poder360.com.br/poder-justica/agenda-de-vorcaro-tinha-toffoli-moraes-e-nunes-marques-leia-a-lista/</x:v>
      </x:c>
      <x:c r="M19" s="79" t="str"/>
    </x:row>
    <x:row r="20" ht="54" customHeight="1">
      <x:c r="A20" s="71" t="str">
        <x:v>Antônio Carlos Freixo Júnior ('Mineiro')</x:v>
      </x:c>
      <x:c r="B20" s="71" t="str">
        <x:v>Finanças</x:v>
      </x:c>
      <x:c r="C20" s="71" t="str">
        <x:v>Empresário ligado à Entre Investments</x:v>
      </x:c>
      <x:c r="D20" s="71" t="str">
        <x:v>B — direto documentado/controvertido</x:v>
      </x:c>
      <x:c r="E20" s="71" t="str">
        <x:v>Operação financeira e colaboração</x:v>
      </x:c>
      <x:c r="F20" s="71" t="str">
        <x:v>Reportagem diz que era próximo de Vorcaro e atuava em estrutura que realizou pagamentos a fundo ligado ao projeto Dark Horse; firmou colaboração a ser homologada.</x:v>
      </x:c>
      <x:c r="G20" s="71" t="str">
        <x:v>Acordo de colaboração não é prova autônoma; alegações dependem de corroboração judicial.</x:v>
      </x:c>
      <x:c r="H20" s="71" t="str">
        <x:v>Colaborador/investigado</x:v>
      </x:c>
      <x:c r="I20" s="78" t="n">
        <x:v>3</x:v>
      </x:c>
      <x:c r="J20" s="71" t="str">
        <x:v>Nacional/setorial</x:v>
      </x:c>
      <x:c r="K20" s="71" t="str">
        <x:v>Possível operador financeiro capaz de explicar fluxos entre empresas e projeto político-cultural.</x:v>
      </x:c>
      <x:c r="L20" s="80" t="str">
        <x:v>https://www1.folha.uol.com.br/poder/2026/09/pgr-fecha-delacao-com-empresario-que-fez-pagamentos-a-fundo-que-financiaria-dark-horse.shtml</x:v>
      </x:c>
      <x:c r="M20" s="80" t="str"/>
    </x:row>
    <x:row r="21" ht="54" customHeight="1">
      <x:c r="A21" s="72" t="str">
        <x:v>Antônio de Rueda</x:v>
      </x:c>
      <x:c r="B21" s="72" t="str">
        <x:v>Política/Advocacia</x:v>
      </x:c>
      <x:c r="C21" s="72" t="str">
        <x:v>Presidente nacional do União Brasil</x:v>
      </x:c>
      <x:c r="D21" s="72" t="str">
        <x:v>A — direto confirmado</x:v>
      </x:c>
      <x:c r="E21" s="72" t="str">
        <x:v>Agenda, mensagens e serviços jurídicos</x:v>
      </x:c>
      <x:c r="F21" s="72" t="str">
        <x:v>Consta na agenda; fontes registram mensagens e pagamentos por serviços a escritórios ligados a ele, além de interlocução sobre a venda ao BRB.</x:v>
      </x:c>
      <x:c r="G21" s="72" t="str">
        <x:v>Rueda afirma que os pagamentos decorreram de serviços jurídicos regulares.</x:v>
      </x:c>
      <x:c r="H21" s="72" t="str">
        <x:v>Relação admitida; alegações sob apuração</x:v>
      </x:c>
      <x:c r="I21" s="77" t="n">
        <x:v>4</x:v>
      </x:c>
      <x:c r="J21" s="72" t="str">
        <x:v>Nacional</x:v>
      </x:c>
      <x:c r="K21" s="72" t="str">
        <x:v>Comanda partido relevante e atua na articulação política nacional.</x:v>
      </x:c>
      <x:c r="L21" s="79" t="str">
        <x:v>https://www.poder360.com.br/poder-justica/agenda-de-vorcaro-tinha-toffoli-moraes-e-nunes-marques-leia-a-lista/</x:v>
      </x:c>
      <x:c r="M21" s="79" t="str">
        <x:v>https://www.gazetadopovo.com.br/ideias/moraes-gonet-veja-lista-atualizada-quem-envolveu-vorcaro/</x:v>
      </x:c>
    </x:row>
    <x:row r="22" ht="54" customHeight="1">
      <x:c r="A22" s="71" t="str">
        <x:v>Antonio Saldanha Palheiro</x:v>
      </x:c>
      <x:c r="B22" s="71" t="str">
        <x:v>Judiciário</x:v>
      </x:c>
      <x:c r="C22" s="71" t="str">
        <x:v>Ministro do STJ</x:v>
      </x:c>
      <x:c r="D22" s="71" t="str">
        <x:v>D — indireto/potencial</x:v>
      </x:c>
      <x:c r="E22" s="71" t="str">
        <x:v>Evento patrocinado</x:v>
      </x:c>
      <x:c r="F22" s="71" t="str">
        <x:v>Listado entre participantes de eventos internacionais financiados pelo Master.</x:v>
      </x:c>
      <x:c r="G22" s="71" t="str">
        <x:v>Participação em evento não demonstra contato pessoal, favor ou irregularidade.</x:v>
      </x:c>
      <x:c r="H22" s="71" t="str">
        <x:v>Sem imputação individual indicada</x:v>
      </x:c>
      <x:c r="I22" s="78" t="n">
        <x:v>4</x:v>
      </x:c>
      <x:c r="J22" s="71" t="str">
        <x:v>Nacional</x:v>
      </x:c>
      <x:c r="K22" s="71" t="str">
        <x:v>Ministro de tribunal superior com competência federal ampla.</x:v>
      </x:c>
      <x:c r="L22" s="80" t="str">
        <x:v>https://www1.folha.uol.com.br/mercado/2026/04/master-gastou-r-60-milhoes-com-autoridades-da-republica-em-londres-nova-york-e-lisboa.shtml</x:v>
      </x:c>
      <x:c r="M22" s="80" t="str"/>
    </x:row>
    <x:row r="23" ht="54" customHeight="1">
      <x:c r="A23" s="72" t="str">
        <x:v>Augusto Ferreira Lima</x:v>
      </x:c>
      <x:c r="B23" s="72" t="str">
        <x:v>Banco Master/Finanças</x:v>
      </x:c>
      <x:c r="C23" s="72" t="str">
        <x:v>Ex-sócio e executivo ligado ao Master/Credcesta</x:v>
      </x:c>
      <x:c r="D23" s="72" t="str">
        <x:v>A — direto confirmado</x:v>
      </x:c>
      <x:c r="E23" s="72" t="str">
        <x:v>Sociedade e operação empresarial</x:v>
      </x:c>
      <x:c r="F23" s="72" t="str">
        <x:v>Ligação empresarial direta e presença em fases da investigação sobre o grupo.</x:v>
      </x:c>
      <x:c r="G23" s="72" t="str">
        <x:v>Investigação não equivale a condenação; defesas específicas devem ser consideradas em cada imputação.</x:v>
      </x:c>
      <x:c r="H23" s="72" t="str">
        <x:v>Alvo/investigado; presunção de inocência</x:v>
      </x:c>
      <x:c r="I23" s="77" t="n">
        <x:v>3</x:v>
      </x:c>
      <x:c r="J23" s="72" t="str">
        <x:v>Nacional/setorial</x:v>
      </x:c>
      <x:c r="K23" s="72" t="str">
        <x:v>Operador central de empresas e produtos financeiros associados ao grupo.</x:v>
      </x:c>
      <x:c r="L23" s="79" t="str">
        <x:v>https://noticias.stf.jus.br/postsnoticias/stf-atende-a-pedido-da-pf-e-determina-prisao-de-daniel-vorcaro-e-outros-investigados-por-supostas-fraudes-no-banco-master/</x:v>
      </x:c>
      <x:c r="M23" s="79" t="str">
        <x:v>https://www.cnnbrasil.com.br/politica/veja-quem-sao-os-oito-alvos-da-nova-fase-da-operacao-do-caso-master/</x:v>
      </x:c>
    </x:row>
    <x:row r="24" ht="54" customHeight="1">
      <x:c r="A24" s="71" t="str">
        <x:v>Belline Santana</x:v>
      </x:c>
      <x:c r="B24" s="71" t="str">
        <x:v>Finanças</x:v>
      </x:c>
      <x:c r="C24" s="71" t="str">
        <x:v>Empresário/executivo citado na Compliance Zero</x:v>
      </x:c>
      <x:c r="D24" s="71" t="str">
        <x:v>D — indireto/potencial</x:v>
      </x:c>
      <x:c r="E24" s="71" t="str">
        <x:v>Operação policial</x:v>
      </x:c>
      <x:c r="F24" s="71" t="str">
        <x:v>Aparece entre os investigados/alvos relacionados às estruturas financeiras do caso.</x:v>
      </x:c>
      <x:c r="G24" s="71" t="str">
        <x:v>Ser investigado não prova participação nos fatos.</x:v>
      </x:c>
      <x:c r="H24" s="71" t="str">
        <x:v>Alvo/investigado; presunção de inocência</x:v>
      </x:c>
      <x:c r="I24" s="78" t="n">
        <x:v>2</x:v>
      </x:c>
      <x:c r="J24" s="71" t="str">
        <x:v>Setorial</x:v>
      </x:c>
      <x:c r="K24" s="71" t="str">
        <x:v>Possível elo operacional do ecossistema financeiro investigado.</x:v>
      </x:c>
      <x:c r="L24" s="80" t="str">
        <x:v>https://noticias.stf.jus.br/postsnoticias/stf-atende-a-pedido-da-pf-e-determina-prisao-de-daniel-vorcaro-e-outros-investigados-por-supostas-fraudes-no-banco-master/</x:v>
      </x:c>
      <x:c r="M24" s="80" t="str"/>
    </x:row>
    <x:row r="25" ht="54" customHeight="1">
      <x:c r="A25" s="72" t="str">
        <x:v>Bianca BB</x:v>
      </x:c>
      <x:c r="B25" s="72" t="str">
        <x:v>Identidade incerta</x:v>
      </x:c>
      <x:c r="C25" s="72" t="str">
        <x:v>Contato/alcunha; identidade pública não confirmada</x:v>
      </x:c>
      <x:c r="D25" s="72" t="str">
        <x:v>E — fraco/ambíguo</x:v>
      </x:c>
      <x:c r="E25" s="72" t="str">
        <x:v>Contato salvo</x:v>
      </x:c>
      <x:c r="F25" s="72" t="str">
        <x:v>Rótulo consta da agenda periciada.</x:v>
      </x:c>
      <x:c r="G25" s="72" t="str">
        <x:v>Não é seguro inferir vínculo com Banco do Brasil ou pessoa específica.</x:v>
      </x:c>
      <x:c r="H25" s="72" t="str">
        <x:v>Identidade não confirmada</x:v>
      </x:c>
      <x:c r="I25" s="77" t="n">
        <x:v>1</x:v>
      </x:c>
      <x:c r="J25" s="72" t="str">
        <x:v>Indeterminado</x:v>
      </x:c>
      <x:c r="K25" s="72" t="str">
        <x:v>Sem base para avaliar influência.</x:v>
      </x:c>
      <x:c r="L25" s="79" t="str">
        <x:v>https://www.poder360.com.br/poder-justica/agenda-de-vorcaro-tinha-toffoli-moraes-e-nunes-marques-leia-a-lista/</x:v>
      </x:c>
      <x:c r="M25" s="79" t="str"/>
    </x:row>
    <x:row r="26" ht="54" customHeight="1">
      <x:c r="A26" s="71" t="str">
        <x:v>Bruno Bianco</x:v>
      </x:c>
      <x:c r="B26" s="71" t="str">
        <x:v>Executivo/Advocacia</x:v>
      </x:c>
      <x:c r="C26" s="71" t="str">
        <x:v>Ex-advogado-geral da União</x:v>
      </x:c>
      <x:c r="D26" s="71" t="str">
        <x:v>C — agenda apenas</x:v>
      </x:c>
      <x:c r="E26" s="71" t="str">
        <x:v>Contato salvo</x:v>
      </x:c>
      <x:c r="F26" s="71" t="str">
        <x:v>Nome aparece na agenda periciada.</x:v>
      </x:c>
      <x:c r="G26" s="71" t="str">
        <x:v>A fonte-base não demonstra conversa ou irregularidade.</x:v>
      </x:c>
      <x:c r="H26" s="71" t="str">
        <x:v>Sem imputação identificada na fonte-base</x:v>
      </x:c>
      <x:c r="I26" s="78" t="n">
        <x:v>4</x:v>
      </x:c>
      <x:c r="J26" s="71" t="str">
        <x:v>Nacional</x:v>
      </x:c>
      <x:c r="K26" s="71" t="str">
        <x:v>Ex-chefe da advocacia pública federal e figura jurídica influente.</x:v>
      </x:c>
      <x:c r="L26" s="80" t="str">
        <x:v>https://www.poder360.com.br/poder-justica/agenda-de-vorcaro-tinha-toffoli-moraes-e-nunes-marques-leia-a-lista/</x:v>
      </x:c>
      <x:c r="M26" s="80" t="str"/>
    </x:row>
    <x:row r="27" ht="54" customHeight="1">
      <x:c r="A27" s="72" t="str">
        <x:v>Caio Cesar Rocha Rueda</x:v>
      </x:c>
      <x:c r="B27" s="72" t="str">
        <x:v>Advocacia/Política</x:v>
      </x:c>
      <x:c r="C27" s="72" t="str">
        <x:v>Advogado; parente de Antônio de Rueda</x:v>
      </x:c>
      <x:c r="D27" s="72" t="str">
        <x:v>C — agenda apenas</x:v>
      </x:c>
      <x:c r="E27" s="72" t="str">
        <x:v>Contato salvo</x:v>
      </x:c>
      <x:c r="F27" s="72" t="str">
        <x:v>Nome aparece entre os registros periciados.</x:v>
      </x:c>
      <x:c r="G27" s="72" t="str">
        <x:v>Contato salvo não comprova interação nem irregularidade.</x:v>
      </x:c>
      <x:c r="H27" s="72" t="str">
        <x:v>Sem imputação identificada na fonte-base</x:v>
      </x:c>
      <x:c r="I27" s="77" t="n">
        <x:v>2</x:v>
      </x:c>
      <x:c r="J27" s="72" t="str">
        <x:v>Nacional/setorial</x:v>
      </x:c>
      <x:c r="K27" s="72" t="str">
        <x:v>Ligação familiar e profissional com liderança partidária relevante.</x:v>
      </x:c>
      <x:c r="L27" s="79" t="str">
        <x:v>https://www.poder360.com.br/poder-justica/agenda-de-vorcaro-tinha-toffoli-moraes-e-nunes-marques-leia-a-lista/</x:v>
      </x:c>
      <x:c r="M27" s="79" t="str"/>
    </x:row>
    <x:row r="28" ht="54" customHeight="1">
      <x:c r="A28" s="71" t="str">
        <x:v>Carlos Costa Min</x:v>
      </x:c>
      <x:c r="B28" s="71" t="str">
        <x:v>Identidade incerta</x:v>
      </x:c>
      <x:c r="C28" s="71" t="str">
        <x:v>Contato com identificação incompleta</x:v>
      </x:c>
      <x:c r="D28" s="71" t="str">
        <x:v>E — fraco/ambíguo</x:v>
      </x:c>
      <x:c r="E28" s="71" t="str">
        <x:v>Contato salvo</x:v>
      </x:c>
      <x:c r="F28" s="71" t="str">
        <x:v>Rótulo consta do material periciado.</x:v>
      </x:c>
      <x:c r="G28" s="71" t="str">
        <x:v>Não há identificação pública segura nem cargo confirmado.</x:v>
      </x:c>
      <x:c r="H28" s="71" t="str">
        <x:v>Identidade não confirmada</x:v>
      </x:c>
      <x:c r="I28" s="78" t="n">
        <x:v>1</x:v>
      </x:c>
      <x:c r="J28" s="71" t="str">
        <x:v>Indeterminado</x:v>
      </x:c>
      <x:c r="K28" s="71" t="str">
        <x:v>Sem base para avaliar influência.</x:v>
      </x:c>
      <x:c r="L28" s="80" t="str">
        <x:v>https://www.poder360.com.br/poder-justica/agenda-de-vorcaro-tinha-toffoli-moraes-e-nunes-marques-leia-a-lista/</x:v>
      </x:c>
      <x:c r="M28" s="80" t="str"/>
    </x:row>
    <x:row r="29" ht="54" customHeight="1">
      <x:c r="A29" s="72" t="str">
        <x:v>Carlos Viana</x:v>
      </x:c>
      <x:c r="B29" s="72" t="str">
        <x:v>Política</x:v>
      </x:c>
      <x:c r="C29" s="72" t="str">
        <x:v>Senador por Minas Gerais</x:v>
      </x:c>
      <x:c r="D29" s="72" t="str">
        <x:v>C — agenda apenas</x:v>
      </x:c>
      <x:c r="E29" s="72" t="str">
        <x:v>Contato salvo</x:v>
      </x:c>
      <x:c r="F29" s="72" t="str">
        <x:v>Nome aparece na agenda periciada.</x:v>
      </x:c>
      <x:c r="G29" s="72" t="str">
        <x:v>A fonte-base não demonstra interação ou irregularidade.</x:v>
      </x:c>
      <x:c r="H29" s="72" t="str">
        <x:v>Sem imputação identificada na fonte-base</x:v>
      </x:c>
      <x:c r="I29" s="77" t="n">
        <x:v>4</x:v>
      </x:c>
      <x:c r="J29" s="72" t="str">
        <x:v>Nacional</x:v>
      </x:c>
      <x:c r="K29" s="72" t="str">
        <x:v>Senador e ator legislativo de alcance nacional.</x:v>
      </x:c>
      <x:c r="L29" s="79" t="str">
        <x:v>https://www.poder360.com.br/poder-justica/agenda-de-vorcaro-tinha-toffoli-moraes-e-nunes-marques-leia-a-lista/</x:v>
      </x:c>
      <x:c r="M29" s="79" t="str"/>
    </x:row>
    <x:row r="30" ht="54" customHeight="1">
      <x:c r="A30" s="71" t="str">
        <x:v>Cassiano Fernandes</x:v>
      </x:c>
      <x:c r="B30" s="71" t="str">
        <x:v>Identidade incerta</x:v>
      </x:c>
      <x:c r="C30" s="71" t="str">
        <x:v>Contato; cargo não confirmado na fonte-base</x:v>
      </x:c>
      <x:c r="D30" s="71" t="str">
        <x:v>E — fraco/ambíguo</x:v>
      </x:c>
      <x:c r="E30" s="71" t="str">
        <x:v>Contato salvo</x:v>
      </x:c>
      <x:c r="F30" s="71" t="str">
        <x:v>Nome consta da agenda periciada.</x:v>
      </x:c>
      <x:c r="G30" s="71" t="str">
        <x:v>Homônimo possível; não foi atribuída identidade por suposição.</x:v>
      </x:c>
      <x:c r="H30" s="71" t="str">
        <x:v>Identidade/cargo não confirmados</x:v>
      </x:c>
      <x:c r="I30" s="78" t="n">
        <x:v>1</x:v>
      </x:c>
      <x:c r="J30" s="71" t="str">
        <x:v>Indeterminado</x:v>
      </x:c>
      <x:c r="K30" s="71" t="str">
        <x:v>Sem base para avaliar influência.</x:v>
      </x:c>
      <x:c r="L30" s="80" t="str">
        <x:v>https://www.poder360.com.br/poder-justica/agenda-de-vorcaro-tinha-toffoli-moraes-e-nunes-marques-leia-a-lista/</x:v>
      </x:c>
      <x:c r="M30" s="80" t="str"/>
    </x:row>
    <x:row r="31" ht="54" customHeight="1">
      <x:c r="A31" s="72" t="str">
        <x:v>Cezinha de Madureira</x:v>
      </x:c>
      <x:c r="B31" s="72" t="str">
        <x:v>Política</x:v>
      </x:c>
      <x:c r="C31" s="72" t="str">
        <x:v>Deputado federal</x:v>
      </x:c>
      <x:c r="D31" s="72" t="str">
        <x:v>A — direto confirmado</x:v>
      </x:c>
      <x:c r="E31" s="72" t="str">
        <x:v>Intermediação de reunião</x:v>
      </x:c>
      <x:c r="F31" s="72" t="str">
        <x:v>Citado como um dos articuladores da reunião de Vorcaro com André Mendonça.</x:v>
      </x:c>
      <x:c r="G31" s="72" t="str">
        <x:v>Intermediar reunião institucional não demonstra, por si, irregularidade.</x:v>
      </x:c>
      <x:c r="H31" s="72" t="str">
        <x:v>Contato/intermediação documentada</x:v>
      </x:c>
      <x:c r="I31" s="77" t="n">
        <x:v>3</x:v>
      </x:c>
      <x:c r="J31" s="72" t="str">
        <x:v>Nacional</x:v>
      </x:c>
      <x:c r="K31" s="72" t="str">
        <x:v>Deputado com trânsito político e religioso.</x:v>
      </x:c>
      <x:c r="L31" s="79" t="str">
        <x:v>https://iclnoticias.com.br/vaza-mendonca-mensagens-e-audios-ineditos/</x:v>
      </x:c>
      <x:c r="M31" s="79" t="str"/>
    </x:row>
    <x:row r="32" ht="54" customHeight="1">
      <x:c r="A32" s="71" t="str">
        <x:v>Ciro Nogueira</x:v>
      </x:c>
      <x:c r="B32" s="71" t="str">
        <x:v>Política</x:v>
      </x:c>
      <x:c r="C32" s="71" t="str">
        <x:v>Senador; presidente do PP</x:v>
      </x:c>
      <x:c r="D32" s="71" t="str">
        <x:v>A — direto confirmado</x:v>
      </x:c>
      <x:c r="E32" s="71" t="str">
        <x:v>Agenda, mensagens, encontros e benefícios alegados</x:v>
      </x:c>
      <x:c r="F32" s="71" t="str">
        <x:v>Agenda e relatórios descrevem proximidade, viagens/jantares e pagamentos mensais alegados por empresa ligada ao senador; foi alvo de fase da operação.</x:v>
      </x:c>
      <x:c r="G32" s="71" t="str">
        <x:v>Ciro admite conhecer Vorcaro, mas nega pagamentos ilícitos, favores e irregularidades.</x:v>
      </x:c>
      <x:c r="H32" s="71" t="str">
        <x:v>Alvo/investigado; presunção de inocência</x:v>
      </x:c>
      <x:c r="I32" s="78" t="n">
        <x:v>5</x:v>
      </x:c>
      <x:c r="J32" s="71" t="str">
        <x:v>Nacional</x:v>
      </x:c>
      <x:c r="K32" s="71" t="str">
        <x:v>Preside partido nacional e tem forte influência no Congresso e em coalizões.</x:v>
      </x:c>
      <x:c r="L32" s="80" t="str">
        <x:v>https://noticias.stf.jus.br/postsnoticias/stf-autoriza-nova-fase-da-operacao-compliance-zero/</x:v>
      </x:c>
      <x:c r="M32" s="80" t="str">
        <x:v>https://www.cnnbrasil.com.br/politica/relatorio-da-pf-expoe-articulacao-e-influencia-de-vorcaro-no-meio-politico/</x:v>
      </x:c>
    </x:row>
    <x:row r="33" ht="54" customHeight="1">
      <x:c r="A33" s="72" t="str">
        <x:v>Ciro Rocha Soares</x:v>
      </x:c>
      <x:c r="B33" s="72" t="str">
        <x:v>Advocacia/Articulação</x:v>
      </x:c>
      <x:c r="C33" s="72" t="str">
        <x:v>Advogado e interlocutor político-jurídico</x:v>
      </x:c>
      <x:c r="D33" s="72" t="str">
        <x:v>A — direto confirmado</x:v>
      </x:c>
      <x:c r="E33" s="72" t="str">
        <x:v>Mensagens e intermediação</x:v>
      </x:c>
      <x:c r="F33" s="72" t="str">
        <x:v>Relatório registra mensagens diretas com Vorcaro e atuação como ponte para Paulo Gonet e André Mendonça.</x:v>
      </x:c>
      <x:c r="G33" s="72" t="str">
        <x:v>O material demonstra interlocução; finalidade ilícita ou êxito de pedidos não estão provados.</x:v>
      </x:c>
      <x:c r="H33" s="72" t="str">
        <x:v>Citado em relatório</x:v>
      </x:c>
      <x:c r="I33" s="77" t="n">
        <x:v>3</x:v>
      </x:c>
      <x:c r="J33" s="72" t="str">
        <x:v>Nacional/setorial</x:v>
      </x:c>
      <x:c r="K33" s="72" t="str">
        <x:v>Ponte operacional entre empresários e autoridades de cúpula.</x:v>
      </x:c>
      <x:c r="L33" s="79" t="str">
        <x:v>https://static.poder360.com.br/uploads/2026/09/pet16662_relatorio_pf_celular_vorcaro_moraes_gonet_andrei_barci.pdf</x:v>
      </x:c>
      <x:c r="M33" s="79" t="str">
        <x:v>https://iclnoticias.com.br/vaza-mendonca-mensagens-e-audios-ineditos/</x:v>
      </x:c>
    </x:row>
    <x:row r="34" ht="54" customHeight="1">
      <x:c r="A34" s="71" t="str">
        <x:v>Cláudio Castro</x:v>
      </x:c>
      <x:c r="B34" s="71" t="str">
        <x:v>Política</x:v>
      </x:c>
      <x:c r="C34" s="71" t="str">
        <x:v>Governador do Rio de Janeiro</x:v>
      </x:c>
      <x:c r="D34" s="71" t="str">
        <x:v>B — direto documentado/controvertido</x:v>
      </x:c>
      <x:c r="E34" s="71" t="str">
        <x:v>Agenda e investigação institucional</x:v>
      </x:c>
      <x:c r="F34" s="71" t="str">
        <x:v>Consta da agenda e é investigado no contexto de investimentos do Rioprevidência em ativos ligados ao Master.</x:v>
      </x:c>
      <x:c r="G34" s="71" t="str">
        <x:v>Defesa nega irregularidade; investimento institucional não prova trato pessoal com Vorcaro.</x:v>
      </x:c>
      <x:c r="H34" s="71" t="str">
        <x:v>Investigado; presunção de inocência</x:v>
      </x:c>
      <x:c r="I34" s="78" t="n">
        <x:v>5</x:v>
      </x:c>
      <x:c r="J34" s="71" t="str">
        <x:v>Nacional/regional</x:v>
      </x:c>
      <x:c r="K34" s="71" t="str">
        <x:v>Governa um dos maiores estados do país e influencia fundos públicos relevantes.</x:v>
      </x:c>
      <x:c r="L34" s="80" t="str">
        <x:v>https://www.poder360.com.br/poder-justica/agenda-de-vorcaro-tinha-toffoli-moraes-e-nunes-marques-leia-a-lista/</x:v>
      </x:c>
      <x:c r="M34" s="80" t="str">
        <x:v>https://www.gazetadopovo.com.br/ideias/moraes-gonet-veja-lista-atualizada-quem-envolveu-vorcaro/</x:v>
      </x:c>
    </x:row>
    <x:row r="35" ht="54" customHeight="1">
      <x:c r="A35" s="72" t="str">
        <x:v>Daniel Lima</x:v>
      </x:c>
      <x:c r="B35" s="72" t="str">
        <x:v>Identidade incerta</x:v>
      </x:c>
      <x:c r="C35" s="72" t="str">
        <x:v>Contato; cargo não confirmado</x:v>
      </x:c>
      <x:c r="D35" s="72" t="str">
        <x:v>E — fraco/ambíguo</x:v>
      </x:c>
      <x:c r="E35" s="72" t="str">
        <x:v>Contato salvo</x:v>
      </x:c>
      <x:c r="F35" s="72" t="str">
        <x:v>Nome aparece no material periciado.</x:v>
      </x:c>
      <x:c r="G35" s="72" t="str">
        <x:v>Homônimo; identidade não atribuída sem prova adicional.</x:v>
      </x:c>
      <x:c r="H35" s="72" t="str">
        <x:v>Identidade/cargo não confirmados</x:v>
      </x:c>
      <x:c r="I35" s="77" t="n">
        <x:v>1</x:v>
      </x:c>
      <x:c r="J35" s="72" t="str">
        <x:v>Indeterminado</x:v>
      </x:c>
      <x:c r="K35" s="72" t="str">
        <x:v>Sem base para avaliar influência.</x:v>
      </x:c>
      <x:c r="L35" s="79" t="str">
        <x:v>https://www.poder360.com.br/poder-justica/agenda-de-vorcaro-tinha-toffoli-moraes-e-nunes-marques-leia-a-lista/</x:v>
      </x:c>
      <x:c r="M35" s="79" t="str"/>
    </x:row>
    <x:row r="36" ht="54" customHeight="1">
      <x:c r="A36" s="71" t="str">
        <x:v>Daniela Torres de Mesquita</x:v>
      </x:c>
      <x:c r="B36" s="71" t="str">
        <x:v>Banco Central</x:v>
      </x:c>
      <x:c r="C36" s="71" t="str">
        <x:v>Chefe-adjunta do gabinete da Presidência do BC</x:v>
      </x:c>
      <x:c r="D36" s="71" t="str">
        <x:v>C — agenda apenas</x:v>
      </x:c>
      <x:c r="E36" s="71" t="str">
        <x:v>Contato salvo</x:v>
      </x:c>
      <x:c r="F36" s="71" t="str">
        <x:v>Nome aparece na agenda periciada.</x:v>
      </x:c>
      <x:c r="G36" s="71" t="str">
        <x:v>A fonte-base não demonstra interação ou irregularidade.</x:v>
      </x:c>
      <x:c r="H36" s="71" t="str">
        <x:v>Sem imputação identificada na fonte-base</x:v>
      </x:c>
      <x:c r="I36" s="78" t="n">
        <x:v>3</x:v>
      </x:c>
      <x:c r="J36" s="71" t="str">
        <x:v>Nacional</x:v>
      </x:c>
      <x:c r="K36" s="71" t="str">
        <x:v>Acesso próximo à cúpula da autoridade monetária.</x:v>
      </x:c>
      <x:c r="L36" s="80" t="str">
        <x:v>https://www.poder360.com.br/poder-justica/agenda-de-vorcaro-tinha-toffoli-moraes-e-nunes-marques-leia-a-lista/</x:v>
      </x:c>
      <x:c r="M36" s="80" t="str"/>
    </x:row>
    <x:row r="37" ht="54" customHeight="1">
      <x:c r="A37" s="72" t="str">
        <x:v>Dário Oswaldo Garcia</x:v>
      </x:c>
      <x:c r="B37" s="72" t="str">
        <x:v>Finanças</x:v>
      </x:c>
      <x:c r="C37" s="72" t="str">
        <x:v>Empresário/executivo citado na operação</x:v>
      </x:c>
      <x:c r="D37" s="72" t="str">
        <x:v>D — indireto/potencial</x:v>
      </x:c>
      <x:c r="E37" s="72" t="str">
        <x:v>Operação policial</x:v>
      </x:c>
      <x:c r="F37" s="72" t="str">
        <x:v>Listado entre alvos/investigados de fases da Compliance Zero.</x:v>
      </x:c>
      <x:c r="G37" s="72" t="str">
        <x:v>Investigação não equivale a condenação.</x:v>
      </x:c>
      <x:c r="H37" s="72" t="str">
        <x:v>Alvo/investigado; presunção de inocência</x:v>
      </x:c>
      <x:c r="I37" s="77" t="n">
        <x:v>2</x:v>
      </x:c>
      <x:c r="J37" s="72" t="str">
        <x:v>Setorial</x:v>
      </x:c>
      <x:c r="K37" s="72" t="str">
        <x:v>Possível elo operacional em negócios sob apuração.</x:v>
      </x:c>
      <x:c r="L37" s="79" t="str">
        <x:v>https://noticias.stf.jus.br/postsnoticias/stf-atende-a-pedido-da-pf-e-determina-prisao-de-daniel-vorcaro-e-outros-investigados-por-supostas-fraudes-no-banco-master/</x:v>
      </x:c>
      <x:c r="M37" s="79" t="str"/>
    </x:row>
    <x:row r="38" ht="54" customHeight="1">
      <x:c r="A38" s="71" t="str">
        <x:v>Davi Alcolumbre</x:v>
      </x:c>
      <x:c r="B38" s="71" t="str">
        <x:v>Política</x:v>
      </x:c>
      <x:c r="C38" s="71" t="str">
        <x:v>Presidente do Senado</x:v>
      </x:c>
      <x:c r="D38" s="71" t="str">
        <x:v>B — direto documentado/controvertido</x:v>
      </x:c>
      <x:c r="E38" s="71" t="str">
        <x:v>Agenda e conexões institucionais</x:v>
      </x:c>
      <x:c r="F38" s="71" t="str">
        <x:v>Consta da agenda; fontes relacionam aliados e o fundo previdenciário do Amapá a investimentos no ecossistema Master, além de controvérsia sobre tramitação de CPMI.</x:v>
      </x:c>
      <x:c r="G38" s="71" t="str">
        <x:v>Alcolumbre nega interferência; investimentos de terceiros não provam contato ou benefício pessoal.</x:v>
      </x:c>
      <x:c r="H38" s="71" t="str">
        <x:v>Citado; sem conclusão de culpa</x:v>
      </x:c>
      <x:c r="I38" s="78" t="n">
        <x:v>5</x:v>
      </x:c>
      <x:c r="J38" s="71" t="str">
        <x:v>Nacional</x:v>
      </x:c>
      <x:c r="K38" s="71" t="str">
        <x:v>Preside o Senado e controla pauta, comissões e articulação federativa.</x:v>
      </x:c>
      <x:c r="L38" s="80" t="str">
        <x:v>https://www.poder360.com.br/poder-justica/agenda-de-vorcaro-tinha-toffoli-moraes-e-nunes-marques-leia-a-lista/</x:v>
      </x:c>
      <x:c r="M38" s="80" t="str">
        <x:v>https://www.gazetadopovo.com.br/ideias/moraes-gonet-veja-lista-atualizada-quem-envolveu-vorcaro/</x:v>
      </x:c>
    </x:row>
    <x:row r="39" ht="54" customHeight="1">
      <x:c r="A39" s="72" t="str">
        <x:v>David Lopes Monteiro</x:v>
      </x:c>
      <x:c r="B39" s="72" t="str">
        <x:v>Negócios</x:v>
      </x:c>
      <x:c r="C39" s="72" t="str">
        <x:v>Empresário citado como alvo da 9ª fase</x:v>
      </x:c>
      <x:c r="D39" s="72" t="str">
        <x:v>D — indireto/potencial</x:v>
      </x:c>
      <x:c r="E39" s="72" t="str">
        <x:v>Operação policial</x:v>
      </x:c>
      <x:c r="F39" s="72" t="str">
        <x:v>Aparece entre alvos de busca ligados à fase que alcançou Jaques Wagner e operadores.</x:v>
      </x:c>
      <x:c r="G39" s="72" t="str">
        <x:v>Ser alvo de medida investigativa não equivale a condenação.</x:v>
      </x:c>
      <x:c r="H39" s="72" t="str">
        <x:v>Alvo/investigado; presunção de inocência</x:v>
      </x:c>
      <x:c r="I39" s="77" t="n">
        <x:v>2</x:v>
      </x:c>
      <x:c r="J39" s="72" t="str">
        <x:v>Setorial</x:v>
      </x:c>
      <x:c r="K39" s="72" t="str">
        <x:v>Possível operador de transações sob apuração.</x:v>
      </x:c>
      <x:c r="L39" s="79" t="str">
        <x:v>https://www.cnnbrasil.com.br/politica/veja-quem-sao-os-oito-alvos-da-nova-fase-da-operacao-do-caso-master/</x:v>
      </x:c>
      <x:c r="M39" s="79" t="str">
        <x:v>https://noticias.stf.jus.br/postsnoticias/stf-autoriza-9a-fase-da-operacao-compliance-zero-em-sp-ba-e-df/</x:v>
      </x:c>
    </x:row>
    <x:row r="40" ht="54" customHeight="1">
      <x:c r="A40" s="71" t="str">
        <x:v>Dias Toffoli</x:v>
      </x:c>
      <x:c r="B40" s="71" t="str">
        <x:v>Judiciário</x:v>
      </x:c>
      <x:c r="C40" s="71" t="str">
        <x:v>Ministro do STF</x:v>
      </x:c>
      <x:c r="D40" s="71" t="str">
        <x:v>B — direto documentado/controvertido</x:v>
      </x:c>
      <x:c r="E40" s="71" t="str">
        <x:v>Agenda, eventos e negócios indiretos</x:v>
      </x:c>
      <x:c r="F40" s="71" t="str">
        <x:v>Consta da agenda; participou de eventos patrocinados e teve conexões familiares/empresariais com ativo adquirido por fundo ligado ao ecossistema Master.</x:v>
      </x:c>
      <x:c r="G40" s="71" t="str">
        <x:v>Toffoli informou que participação familiar havia sido vendida; declarou suspeição e deixou relatoria. Vínculo indireto não prova favorecimento.</x:v>
      </x:c>
      <x:c r="H40" s="71" t="str">
        <x:v>Citado; sem conclusão de culpa</x:v>
      </x:c>
      <x:c r="I40" s="78" t="n">
        <x:v>5</x:v>
      </x:c>
      <x:c r="J40" s="71" t="str">
        <x:v>Nacional/global</x:v>
      </x:c>
      <x:c r="K40" s="71" t="str">
        <x:v>Ministro do STF, com impacto constitucional e político de cúpula.</x:v>
      </x:c>
      <x:c r="L40" s="80" t="str">
        <x:v>https://www.poder360.com.br/poder-justica/agenda-de-vorcaro-tinha-toffoli-moraes-e-nunes-marques-leia-a-lista/</x:v>
      </x:c>
      <x:c r="M40" s="80" t="str">
        <x:v>https://www.gazetadopovo.com.br/ideias/moraes-gonet-veja-lista-atualizada-quem-envolveu-vorcaro/</x:v>
      </x:c>
    </x:row>
    <x:row r="41" ht="54" customHeight="1">
      <x:c r="A41" s="72" t="str">
        <x:v>Eduardo Bolsonaro</x:v>
      </x:c>
      <x:c r="B41" s="72" t="str">
        <x:v>Política</x:v>
      </x:c>
      <x:c r="C41" s="72" t="str">
        <x:v>Deputado federal licenciado/ex-deputado; figura política</x:v>
      </x:c>
      <x:c r="D41" s="72" t="str">
        <x:v>D — indireto/potencial</x:v>
      </x:c>
      <x:c r="E41" s="72" t="str">
        <x:v>Fluxo financeiro alegado via fundo</x:v>
      </x:c>
      <x:c r="F41" s="72" t="str">
        <x:v>Reportagem sobre acordo de colaboração cita suspeita de que parte de recursos do projeto Dark Horse/fundo no exterior teria destino ligado a ele.</x:v>
      </x:c>
      <x:c r="G41" s="72" t="str">
        <x:v>Alegação depende de homologação e corroboração; não é prova de contato pessoal com Vorcaro.</x:v>
      </x:c>
      <x:c r="H41" s="72" t="str">
        <x:v>Citado em colaboração/investigação</x:v>
      </x:c>
      <x:c r="I41" s="77" t="n">
        <x:v>4</x:v>
      </x:c>
      <x:c r="J41" s="72" t="str">
        <x:v>Nacional/internacional</x:v>
      </x:c>
      <x:c r="K41" s="72" t="str">
        <x:v>Figura central do bolsonarismo com redes internacionais.</x:v>
      </x:c>
      <x:c r="L41" s="79" t="str">
        <x:v>https://www1.folha.uol.com.br/poder/2026/09/pgr-fecha-delacao-com-empresario-que-fez-pagamentos-a-fundo-que-financiaria-dark-horse.shtml</x:v>
      </x:c>
      <x:c r="M41" s="79" t="str"/>
    </x:row>
    <x:row r="42" ht="54" customHeight="1">
      <x:c r="A42" s="71" t="str">
        <x:v>Eduardo Braga</x:v>
      </x:c>
      <x:c r="B42" s="71" t="str">
        <x:v>Política</x:v>
      </x:c>
      <x:c r="C42" s="71" t="str">
        <x:v>Senador pelo Amazonas</x:v>
      </x:c>
      <x:c r="D42" s="71" t="str">
        <x:v>C — agenda apenas</x:v>
      </x:c>
      <x:c r="E42" s="71" t="str">
        <x:v>Contato salvo</x:v>
      </x:c>
      <x:c r="F42" s="71" t="str">
        <x:v>Nome aparece na agenda periciada.</x:v>
      </x:c>
      <x:c r="G42" s="71" t="str">
        <x:v>A fonte-base não demonstra conversa ou irregularidade.</x:v>
      </x:c>
      <x:c r="H42" s="71" t="str">
        <x:v>Sem imputação identificada na fonte-base</x:v>
      </x:c>
      <x:c r="I42" s="78" t="n">
        <x:v>4</x:v>
      </x:c>
      <x:c r="J42" s="71" t="str">
        <x:v>Nacional</x:v>
      </x:c>
      <x:c r="K42" s="71" t="str">
        <x:v>Senador influente e ex-ministro, com peso em pautas econômicas.</x:v>
      </x:c>
      <x:c r="L42" s="80" t="str">
        <x:v>https://www.poder360.com.br/poder-justica/agenda-de-vorcaro-tinha-toffoli-moraes-e-nunes-marques-leia-a-lista/</x:v>
      </x:c>
      <x:c r="M42" s="80" t="str"/>
    </x:row>
    <x:row r="43" ht="54" customHeight="1">
      <x:c r="A43" s="72" t="str">
        <x:v>Eduardo Mendonça Sodré Martins</x:v>
      </x:c>
      <x:c r="B43" s="72" t="str">
        <x:v>Negócios/Família política</x:v>
      </x:c>
      <x:c r="C43" s="72" t="str">
        <x:v>Empresário; enteado de Jaques Wagner</x:v>
      </x:c>
      <x:c r="D43" s="72" t="str">
        <x:v>D — indireto/potencial</x:v>
      </x:c>
      <x:c r="E43" s="72" t="str">
        <x:v>Operação policial</x:v>
      </x:c>
      <x:c r="F43" s="72" t="str">
        <x:v>Alvo de busca na fase que investigou negócios e possíveis fluxos relacionados a Jaques Wagner.</x:v>
      </x:c>
      <x:c r="G43" s="72" t="str">
        <x:v>Medida investigativa não prova prática ilícita.</x:v>
      </x:c>
      <x:c r="H43" s="72" t="str">
        <x:v>Alvo/investigado; presunção de inocência</x:v>
      </x:c>
      <x:c r="I43" s="77" t="n">
        <x:v>2</x:v>
      </x:c>
      <x:c r="J43" s="72" t="str">
        <x:v>Nacional/setorial</x:v>
      </x:c>
      <x:c r="K43" s="72" t="str">
        <x:v>Ligação familiar com liderança política e possível papel empresarial.</x:v>
      </x:c>
      <x:c r="L43" s="79" t="str">
        <x:v>https://www.cnnbrasil.com.br/politica/veja-quem-sao-os-oito-alvos-da-nova-fase-da-operacao-do-caso-master/</x:v>
      </x:c>
      <x:c r="M43" s="79" t="str">
        <x:v>https://noticias.stf.jus.br/postsnoticias/stf-autoriza-9a-fase-da-operacao-compliance-zero-em-sp-ba-e-df/</x:v>
      </x:c>
    </x:row>
    <x:row r="44" ht="54" customHeight="1">
      <x:c r="A44" s="71" t="str">
        <x:v>Eduardo Tanure</x:v>
      </x:c>
      <x:c r="B44" s="71" t="str">
        <x:v>Negócios</x:v>
      </x:c>
      <x:c r="C44" s="71" t="str">
        <x:v>Empresário</x:v>
      </x:c>
      <x:c r="D44" s="71" t="str">
        <x:v>C — agenda apenas</x:v>
      </x:c>
      <x:c r="E44" s="71" t="str">
        <x:v>Contato salvo</x:v>
      </x:c>
      <x:c r="F44" s="71" t="str">
        <x:v>Nome aparece na agenda periciada.</x:v>
      </x:c>
      <x:c r="G44" s="71" t="str">
        <x:v>A fonte-base não demonstra interação ou irregularidade.</x:v>
      </x:c>
      <x:c r="H44" s="71" t="str">
        <x:v>Sem imputação identificada na fonte-base</x:v>
      </x:c>
      <x:c r="I44" s="78" t="n">
        <x:v>3</x:v>
      </x:c>
      <x:c r="J44" s="71" t="str">
        <x:v>Nacional/setorial</x:v>
      </x:c>
      <x:c r="K44" s="71" t="str">
        <x:v>Integra família com investimentos relevantes em finanças, mídia e infraestrutura.</x:v>
      </x:c>
      <x:c r="L44" s="80" t="str">
        <x:v>https://www.poder360.com.br/poder-justica/agenda-de-vorcaro-tinha-toffoli-moraes-e-nunes-marques-leia-a-lista/</x:v>
      </x:c>
      <x:c r="M44" s="80" t="str"/>
    </x:row>
    <x:row r="45" ht="54" customHeight="1">
      <x:c r="A45" s="72" t="str">
        <x:v>Enrique Lewandowski</x:v>
      </x:c>
      <x:c r="B45" s="72" t="str">
        <x:v>Advocacia/Família</x:v>
      </x:c>
      <x:c r="C45" s="72" t="str">
        <x:v>Advogado; filho de Ricardo Lewandowski</x:v>
      </x:c>
      <x:c r="D45" s="72" t="str">
        <x:v>C — agenda apenas</x:v>
      </x:c>
      <x:c r="E45" s="72" t="str">
        <x:v>Contato salvo</x:v>
      </x:c>
      <x:c r="F45" s="72" t="str">
        <x:v>Nome aparece na agenda periciada.</x:v>
      </x:c>
      <x:c r="G45" s="72" t="str">
        <x:v>Contato salvo não demonstra contratação ou irregularidade.</x:v>
      </x:c>
      <x:c r="H45" s="72" t="str">
        <x:v>Sem imputação identificada na fonte-base</x:v>
      </x:c>
      <x:c r="I45" s="77" t="n">
        <x:v>2</x:v>
      </x:c>
      <x:c r="J45" s="72" t="str">
        <x:v>Nacional/setorial</x:v>
      </x:c>
      <x:c r="K45" s="72" t="str">
        <x:v>Conexão familiar com ex-ministro do STF e ex-ministro da Justiça.</x:v>
      </x:c>
      <x:c r="L45" s="79" t="str">
        <x:v>https://www.poder360.com.br/poder-justica/agenda-de-vorcaro-tinha-toffoli-moraes-e-nunes-marques-leia-a-lista/</x:v>
      </x:c>
      <x:c r="M45" s="79" t="str"/>
    </x:row>
    <x:row r="46" ht="54" customHeight="1">
      <x:c r="A46" s="71" t="str">
        <x:v>Erika Schneider</x:v>
      </x:c>
      <x:c r="B46" s="71" t="str">
        <x:v>Entretenimento</x:v>
      </x:c>
      <x:c r="C46" s="71" t="str">
        <x:v>Modelo e influenciadora</x:v>
      </x:c>
      <x:c r="D46" s="71" t="str">
        <x:v>C — agenda apenas</x:v>
      </x:c>
      <x:c r="E46" s="71" t="str">
        <x:v>Contato salvo</x:v>
      </x:c>
      <x:c r="F46" s="71" t="str">
        <x:v>Nome aparece na agenda periciada.</x:v>
      </x:c>
      <x:c r="G46" s="71" t="str">
        <x:v>A fonte não demonstra interação relevante nem irregularidade.</x:v>
      </x:c>
      <x:c r="H46" s="71" t="str">
        <x:v>Sem imputação identificada na fonte-base</x:v>
      </x:c>
      <x:c r="I46" s="78" t="n">
        <x:v>2</x:v>
      </x:c>
      <x:c r="J46" s="71" t="str">
        <x:v>Nacional</x:v>
      </x:c>
      <x:c r="K46" s="71" t="str">
        <x:v>Alcance midiático e digital, sem poder institucional conhecido.</x:v>
      </x:c>
      <x:c r="L46" s="80" t="str">
        <x:v>https://www.poder360.com.br/poder-justica/agenda-de-vorcaro-tinha-toffoli-moraes-e-nunes-marques-leia-a-lista/</x:v>
      </x:c>
      <x:c r="M46" s="80" t="str"/>
    </x:row>
    <x:row r="47" ht="54" customHeight="1">
      <x:c r="A47" s="72" t="str">
        <x:v>Fabiano Campos Zettel</x:v>
      </x:c>
      <x:c r="B47" s="72" t="str">
        <x:v>Negócios/Família</x:v>
      </x:c>
      <x:c r="C47" s="72" t="str">
        <x:v>Empresário; parente de Vorcaro</x:v>
      </x:c>
      <x:c r="D47" s="72" t="str">
        <x:v>A — direto confirmado</x:v>
      </x:c>
      <x:c r="E47" s="72" t="str">
        <x:v>Família, negócios e coordenação de pagamentos</x:v>
      </x:c>
      <x:c r="F47" s="72" t="str">
        <x:v>Relatório registra trocas sobre contratos/pagamentos; também é citado em fases da investigação.</x:v>
      </x:c>
      <x:c r="G47" s="72" t="str">
        <x:v>Laço familiar e operacional não prova ilicitude em cada ato; medidas são investigativas.</x:v>
      </x:c>
      <x:c r="H47" s="72" t="str">
        <x:v>Alvo/investigado; presunção de inocência</x:v>
      </x:c>
      <x:c r="I47" s="77" t="n">
        <x:v>3</x:v>
      </x:c>
      <x:c r="J47" s="72" t="str">
        <x:v>Nacional/setorial</x:v>
      </x:c>
      <x:c r="K47" s="72" t="str">
        <x:v>Operador próximo ao núcleo familiar e financeiro.</x:v>
      </x:c>
      <x:c r="L47" s="79" t="str">
        <x:v>https://static.poder360.com.br/uploads/2026/09/pet16662_relatorio_pf_celular_vorcaro_moraes_gonet_andrei_barci.pdf</x:v>
      </x:c>
      <x:c r="M47" s="79" t="str">
        <x:v>https://noticias.stf.jus.br/postsnoticias/stf-atende-a-pedido-da-pf-e-determina-prisao-de-daniel-vorcaro-e-outros-investigados-por-supostas-fraudes-no-banco-master/</x:v>
      </x:c>
    </x:row>
    <x:row r="48" ht="54" customHeight="1">
      <x:c r="A48" s="71" t="str">
        <x:v>Fábio Faria</x:v>
      </x:c>
      <x:c r="B48" s="71" t="str">
        <x:v>Política/Negócios</x:v>
      </x:c>
      <x:c r="C48" s="71" t="str">
        <x:v>Ex-ministro das Comunicações e empresário</x:v>
      </x:c>
      <x:c r="D48" s="71" t="str">
        <x:v>A — direto confirmado</x:v>
      </x:c>
      <x:c r="E48" s="71" t="str">
        <x:v>Mensagens, reuniões e intermediação</x:v>
      </x:c>
      <x:c r="F48" s="71" t="str">
        <x:v>Compartilhou contato de Alexandre de Moraes, articulou encontros e recomendou o escritório de Viviane Barci, segundo PF e reportagens.</x:v>
      </x:c>
      <x:c r="G48" s="71" t="str">
        <x:v>Faria confirma a ponte e a recomendação, mas nega discutir processos ou conhecer valores contratuais.</x:v>
      </x:c>
      <x:c r="H48" s="71" t="str">
        <x:v>Intermediação admitida; sem conclusão de ilícito</x:v>
      </x:c>
      <x:c r="I48" s="78" t="n">
        <x:v>4</x:v>
      </x:c>
      <x:c r="J48" s="71" t="str">
        <x:v>Nacional</x:v>
      </x:c>
      <x:c r="K48" s="71" t="str">
        <x:v>Ex-ministro com trânsito político, empresarial e familiar de alto nível.</x:v>
      </x:c>
      <x:c r="L48" s="80" t="str">
        <x:v>https://www.cnnbrasil.com.br/blogs/jussara-soares/politica/fabio-faria-intermediou-contatos-entre-moraes-e-vorcaro-diz-pf/</x:v>
      </x:c>
      <x:c r="M48" s="80" t="str">
        <x:v>https://piaui.uol.com.br/web/fabio-faria-daniel-vorcaro-lobby/</x:v>
      </x:c>
    </x:row>
    <x:row r="49" ht="54" customHeight="1">
      <x:c r="A49" s="72" t="str">
        <x:v>Fábio Wajngarten</x:v>
      </x:c>
      <x:c r="B49" s="72" t="str">
        <x:v>Comunicação/Política</x:v>
      </x:c>
      <x:c r="C49" s="72" t="str">
        <x:v>Empresário de comunicação; ex-secretário de Comunicação</x:v>
      </x:c>
      <x:c r="D49" s="72" t="str">
        <x:v>A — direto confirmado</x:v>
      </x:c>
      <x:c r="E49" s="72" t="str">
        <x:v>Contrato de comunicação</x:v>
      </x:c>
      <x:c r="F49" s="72" t="str">
        <x:v>Empresa foi contratada para estratégia de relações públicas após a crise, com pagamentos noticiados de ao menos R$ 3,8 milhões.</x:v>
      </x:c>
      <x:c r="G49" s="72" t="str">
        <x:v>Wajngarten confirma contrato e invoca confidencialidade; contratação não prova irregularidade.</x:v>
      </x:c>
      <x:c r="H49" s="72" t="str">
        <x:v>Relação comercial admitida</x:v>
      </x:c>
      <x:c r="I49" s="77" t="n">
        <x:v>4</x:v>
      </x:c>
      <x:c r="J49" s="72" t="str">
        <x:v>Nacional</x:v>
      </x:c>
      <x:c r="K49" s="72" t="str">
        <x:v>Especialista com acesso ao núcleo bolsonarista e influência na comunicação política.</x:v>
      </x:c>
      <x:c r="L49" s="79" t="str">
        <x:v>https://www.gazetadopovo.com.br/ideias/moraes-gonet-veja-lista-atualizada-quem-envolveu-vorcaro/</x:v>
      </x:c>
      <x:c r="M49" s="79" t="str"/>
    </x:row>
    <x:row r="50" ht="54" customHeight="1">
      <x:c r="A50" s="71" t="str">
        <x:v>Fabiola</x:v>
      </x:c>
      <x:c r="B50" s="71" t="str">
        <x:v>Identidade incerta</x:v>
      </x:c>
      <x:c r="C50" s="71" t="str">
        <x:v>Contato com apenas prenome</x:v>
      </x:c>
      <x:c r="D50" s="71" t="str">
        <x:v>E — fraco/ambíguo</x:v>
      </x:c>
      <x:c r="E50" s="71" t="str">
        <x:v>Contato salvo</x:v>
      </x:c>
      <x:c r="F50" s="71" t="str">
        <x:v>Prenome consta do material periciado.</x:v>
      </x:c>
      <x:c r="G50" s="71" t="str">
        <x:v>Identidade e cargo não podem ser inferidos.</x:v>
      </x:c>
      <x:c r="H50" s="71" t="str">
        <x:v>Identidade não confirmada</x:v>
      </x:c>
      <x:c r="I50" s="78" t="n">
        <x:v>1</x:v>
      </x:c>
      <x:c r="J50" s="71" t="str">
        <x:v>Indeterminado</x:v>
      </x:c>
      <x:c r="K50" s="71" t="str">
        <x:v>Sem base para avaliar influência.</x:v>
      </x:c>
      <x:c r="L50" s="80" t="str">
        <x:v>https://www.poder360.com.br/poder-justica/agenda-de-vorcaro-tinha-toffoli-moraes-e-nunes-marques-leia-a-lista/</x:v>
      </x:c>
      <x:c r="M50" s="80" t="str"/>
    </x:row>
    <x:row r="51" ht="54" customHeight="1">
      <x:c r="A51" s="72" t="str">
        <x:v>Fausto Pinato</x:v>
      </x:c>
      <x:c r="B51" s="72" t="str">
        <x:v>Política</x:v>
      </x:c>
      <x:c r="C51" s="72" t="str">
        <x:v>Deputado federal</x:v>
      </x:c>
      <x:c r="D51" s="72" t="str">
        <x:v>C — agenda apenas</x:v>
      </x:c>
      <x:c r="E51" s="72" t="str">
        <x:v>Contato salvo</x:v>
      </x:c>
      <x:c r="F51" s="72" t="str">
        <x:v>Nome aparece na agenda periciada.</x:v>
      </x:c>
      <x:c r="G51" s="72" t="str">
        <x:v>A fonte-base não demonstra conversa ou irregularidade.</x:v>
      </x:c>
      <x:c r="H51" s="72" t="str">
        <x:v>Sem imputação identificada na fonte-base</x:v>
      </x:c>
      <x:c r="I51" s="77" t="n">
        <x:v>3</x:v>
      </x:c>
      <x:c r="J51" s="72" t="str">
        <x:v>Nacional</x:v>
      </x:c>
      <x:c r="K51" s="72" t="str">
        <x:v>Parlamentar federal com influência legislativa.</x:v>
      </x:c>
      <x:c r="L51" s="79" t="str">
        <x:v>https://www.poder360.com.br/poder-justica/agenda-de-vorcaro-tinha-toffoli-moraes-e-nunes-marques-leia-a-lista/</x:v>
      </x:c>
      <x:c r="M51" s="79" t="str"/>
    </x:row>
    <x:row r="52" ht="54" customHeight="1">
      <x:c r="A52" s="71" t="str">
        <x:v>Felipe Cançado Vorcaro</x:v>
      </x:c>
      <x:c r="B52" s="71" t="str">
        <x:v>Família/Negócios</x:v>
      </x:c>
      <x:c r="C52" s="71" t="str">
        <x:v>Parente de Daniel Vorcaro; investigado</x:v>
      </x:c>
      <x:c r="D52" s="71" t="str">
        <x:v>D — indireto/potencial</x:v>
      </x:c>
      <x:c r="E52" s="71" t="str">
        <x:v>Família e operação policial</x:v>
      </x:c>
      <x:c r="F52" s="71" t="str">
        <x:v>Foi citado entre alvos/investigados ligados ao núcleo familiar e empresarial.</x:v>
      </x:c>
      <x:c r="G52" s="71" t="str">
        <x:v>Vínculo familiar e investigação não equivalem a condenação.</x:v>
      </x:c>
      <x:c r="H52" s="71" t="str">
        <x:v>Alvo/investigado; presunção de inocência</x:v>
      </x:c>
      <x:c r="I52" s="78" t="n">
        <x:v>2</x:v>
      </x:c>
      <x:c r="J52" s="71" t="str">
        <x:v>Nacional/setorial</x:v>
      </x:c>
      <x:c r="K52" s="71" t="str">
        <x:v>Possível elo patrimonial e operacional do núcleo familiar.</x:v>
      </x:c>
      <x:c r="L52" s="80" t="str">
        <x:v>https://noticias.stf.jus.br/postsnoticias/stf-atende-a-pedido-da-pf-e-determina-prisao-de-daniel-vorcaro-e-outros-investigados-por-supostas-fraudes-no-banco-master/</x:v>
      </x:c>
      <x:c r="M52" s="80" t="str"/>
    </x:row>
    <x:row r="53" ht="54" customHeight="1">
      <x:c r="A53" s="72" t="str">
        <x:v>Felipe Wallace Simonsen</x:v>
      </x:c>
      <x:c r="B53" s="72" t="str">
        <x:v>Banco Master</x:v>
      </x:c>
      <x:c r="C53" s="72" t="str">
        <x:v>Empresário/ex-sócio ligado ao Master</x:v>
      </x:c>
      <x:c r="D53" s="72" t="str">
        <x:v>C — agenda apenas</x:v>
      </x:c>
      <x:c r="E53" s="72" t="str">
        <x:v>Contato salvo</x:v>
      </x:c>
      <x:c r="F53" s="72" t="str">
        <x:v>Nome aparece na agenda periciada como figura do mercado ligada ao banco.</x:v>
      </x:c>
      <x:c r="G53" s="72" t="str">
        <x:v>A agenda não prova conversa específica ou ilícito.</x:v>
      </x:c>
      <x:c r="H53" s="72" t="str">
        <x:v>Sem imputação individual indicada na fonte-base</x:v>
      </x:c>
      <x:c r="I53" s="77" t="n">
        <x:v>3</x:v>
      </x:c>
      <x:c r="J53" s="72" t="str">
        <x:v>Nacional/setorial</x:v>
      </x:c>
      <x:c r="K53" s="72" t="str">
        <x:v>Participação societária e conhecimento do ecossistema bancário.</x:v>
      </x:c>
      <x:c r="L53" s="79" t="str">
        <x:v>https://www.poder360.com.br/poder-justica/agenda-de-vorcaro-tinha-toffoli-moraes-e-nunes-marques-leia-a-lista/</x:v>
      </x:c>
      <x:c r="M53" s="79" t="str"/>
    </x:row>
    <x:row r="54" ht="54" customHeight="1">
      <x:c r="A54" s="71" t="str">
        <x:v>Fernando Crestana</x:v>
      </x:c>
      <x:c r="B54" s="71" t="str">
        <x:v>Identidade incerta</x:v>
      </x:c>
      <x:c r="C54" s="71" t="str">
        <x:v>Contato; cargo não confirmado na fonte-base</x:v>
      </x:c>
      <x:c r="D54" s="71" t="str">
        <x:v>E — fraco/ambíguo</x:v>
      </x:c>
      <x:c r="E54" s="71" t="str">
        <x:v>Contato salvo</x:v>
      </x:c>
      <x:c r="F54" s="71" t="str">
        <x:v>Nome consta da agenda periciada.</x:v>
      </x:c>
      <x:c r="G54" s="71" t="str">
        <x:v>Identidade profissional não foi fixada sem fonte segura.</x:v>
      </x:c>
      <x:c r="H54" s="71" t="str">
        <x:v>Identidade/cargo não confirmados</x:v>
      </x:c>
      <x:c r="I54" s="78" t="n">
        <x:v>1</x:v>
      </x:c>
      <x:c r="J54" s="71" t="str">
        <x:v>Indeterminado</x:v>
      </x:c>
      <x:c r="K54" s="71" t="str">
        <x:v>Sem base segura para avaliar influência.</x:v>
      </x:c>
      <x:c r="L54" s="80" t="str">
        <x:v>https://www.poder360.com.br/poder-justica/agenda-de-vorcaro-tinha-toffoli-moraes-e-nunes-marques-leia-a-lista/</x:v>
      </x:c>
      <x:c r="M54" s="80" t="str"/>
    </x:row>
    <x:row r="55" ht="54" customHeight="1">
      <x:c r="A55" s="72" t="str">
        <x:v>Fernando Freiberger</x:v>
      </x:c>
      <x:c r="B55" s="72" t="str">
        <x:v>Bancos</x:v>
      </x:c>
      <x:c r="C55" s="72" t="str">
        <x:v>Diretor-executivo do Bradesco</x:v>
      </x:c>
      <x:c r="D55" s="72" t="str">
        <x:v>C — agenda apenas</x:v>
      </x:c>
      <x:c r="E55" s="72" t="str">
        <x:v>Contato salvo</x:v>
      </x:c>
      <x:c r="F55" s="72" t="str">
        <x:v>Nome aparece na agenda periciada.</x:v>
      </x:c>
      <x:c r="G55" s="72" t="str">
        <x:v>A fonte-base não demonstra conversa, negócio ou irregularidade.</x:v>
      </x:c>
      <x:c r="H55" s="72" t="str">
        <x:v>Sem imputação identificada na fonte-base</x:v>
      </x:c>
      <x:c r="I55" s="77" t="n">
        <x:v>4</x:v>
      </x:c>
      <x:c r="J55" s="72" t="str">
        <x:v>Nacional</x:v>
      </x:c>
      <x:c r="K55" s="72" t="str">
        <x:v>Executivo de um dos maiores bancos do país.</x:v>
      </x:c>
      <x:c r="L55" s="79" t="str">
        <x:v>https://www.poder360.com.br/poder-justica/agenda-de-vorcaro-tinha-toffoli-moraes-e-nunes-marques-leia-a-lista/</x:v>
      </x:c>
      <x:c r="M55" s="79" t="str"/>
    </x:row>
    <x:row r="56" ht="54" customHeight="1">
      <x:c r="A56" s="71" t="str">
        <x:v>Flávia Péres Arruda</x:v>
      </x:c>
      <x:c r="B56" s="71" t="str">
        <x:v>Política</x:v>
      </x:c>
      <x:c r="C56" s="71" t="str">
        <x:v>Ex-ministra e ex-deputada federal</x:v>
      </x:c>
      <x:c r="D56" s="71" t="str">
        <x:v>D — indireto/potencial</x:v>
      </x:c>
      <x:c r="E56" s="71" t="str">
        <x:v>Entidade ligada à família</x:v>
      </x:c>
      <x:c r="F56" s="71" t="str">
        <x:v>Instituto Terra Firme, associado ao círculo familiar, teria recebido valores segundo dados fiscais citados em reportagem.</x:v>
      </x:c>
      <x:c r="G56" s="71" t="str">
        <x:v>Ela nega ter recebido recursos; pagamento a entidade não prova contato pessoal.</x:v>
      </x:c>
      <x:c r="H56" s="71" t="str">
        <x:v>Citada; versão defensiva registrada</x:v>
      </x:c>
      <x:c r="I56" s="78" t="n">
        <x:v>4</x:v>
      </x:c>
      <x:c r="J56" s="71" t="str">
        <x:v>Nacional</x:v>
      </x:c>
      <x:c r="K56" s="71" t="str">
        <x:v>Ex-ministra e liderança política do Distrito Federal.</x:v>
      </x:c>
      <x:c r="L56" s="80" t="str">
        <x:v>https://www.gazetadopovo.com.br/ideias/moraes-gonet-veja-lista-atualizada-quem-envolveu-vorcaro/</x:v>
      </x:c>
      <x:c r="M56" s="80" t="str"/>
    </x:row>
    <x:row r="57" ht="54" customHeight="1">
      <x:c r="A57" s="72" t="str">
        <x:v>Flávio Bolsonaro</x:v>
      </x:c>
      <x:c r="B57" s="72" t="str">
        <x:v>Política</x:v>
      </x:c>
      <x:c r="C57" s="72" t="str">
        <x:v>Senador</x:v>
      </x:c>
      <x:c r="D57" s="72" t="str">
        <x:v>A — direto confirmado</x:v>
      </x:c>
      <x:c r="E57" s="72" t="str">
        <x:v>Mensagens e reunião</x:v>
      </x:c>
      <x:c r="F57" s="72" t="str">
        <x:v>Mensagens e uma reunião foram admitidas; houve pedido de apoio/patrocínio ao projeto Dark Horse.</x:v>
      </x:c>
      <x:c r="G57" s="72" t="str">
        <x:v>Inicialmente negou conhecer Vorcaro e depois reconheceu contato; não há prova publicada de pagamento ilícito por esse pedido.</x:v>
      </x:c>
      <x:c r="H57" s="72" t="str">
        <x:v>Contato admitido; alegações sob apuração</x:v>
      </x:c>
      <x:c r="I57" s="77" t="n">
        <x:v>5</x:v>
      </x:c>
      <x:c r="J57" s="72" t="str">
        <x:v>Nacional/internacional</x:v>
      </x:c>
      <x:c r="K57" s="72" t="str">
        <x:v>Senador e integrante central da família Bolsonaro.</x:v>
      </x:c>
      <x:c r="L57" s="79" t="str">
        <x:v>https://www1.folha.uol.com.br/poder/2026/09/veja-quem-chamou-daniel-vorcaro-de-irmao-e-quem-foi-chamado-da-mesma-forma-pelo-ex-banqueiro.shtml</x:v>
      </x:c>
      <x:c r="M57" s="79" t="str">
        <x:v>https://www.gazetadopovo.com.br/ideias/moraes-gonet-veja-lista-atualizada-quem-envolveu-vorcaro/</x:v>
      </x:c>
    </x:row>
    <x:row r="58" ht="54" customHeight="1">
      <x:c r="A58" s="71" t="str">
        <x:v>Flávio Carneiro</x:v>
      </x:c>
      <x:c r="B58" s="71" t="str">
        <x:v>Identidade incerta</x:v>
      </x:c>
      <x:c r="C58" s="71" t="str">
        <x:v>Contato; cargo não confirmado</x:v>
      </x:c>
      <x:c r="D58" s="71" t="str">
        <x:v>E — fraco/ambíguo</x:v>
      </x:c>
      <x:c r="E58" s="71" t="str">
        <x:v>Contato salvo</x:v>
      </x:c>
      <x:c r="F58" s="71" t="str">
        <x:v>Nome consta do material periciado.</x:v>
      </x:c>
      <x:c r="G58" s="71" t="str">
        <x:v>Homônimo possível; cargo e identidade não foram atribuídos.</x:v>
      </x:c>
      <x:c r="H58" s="71" t="str">
        <x:v>Identidade/cargo não confirmados</x:v>
      </x:c>
      <x:c r="I58" s="78" t="n">
        <x:v>1</x:v>
      </x:c>
      <x:c r="J58" s="71" t="str">
        <x:v>Indeterminado</x:v>
      </x:c>
      <x:c r="K58" s="71" t="str">
        <x:v>Sem base segura para avaliar influência.</x:v>
      </x:c>
      <x:c r="L58" s="80" t="str">
        <x:v>https://www.poder360.com.br/poder-justica/agenda-de-vorcaro-tinha-toffoli-moraes-e-nunes-marques-leia-a-lista/</x:v>
      </x:c>
      <x:c r="M58" s="80" t="str"/>
    </x:row>
    <x:row r="59" ht="54" customHeight="1">
      <x:c r="A59" s="72" t="str">
        <x:v>Francisco José Pereira da Silva</x:v>
      </x:c>
      <x:c r="B59" s="72" t="str">
        <x:v>Negócios</x:v>
      </x:c>
      <x:c r="C59" s="72" t="str">
        <x:v>Pessoa ligada a estruturas investigadas</x:v>
      </x:c>
      <x:c r="D59" s="72" t="str">
        <x:v>D — indireto/potencial</x:v>
      </x:c>
      <x:c r="E59" s="72" t="str">
        <x:v>Operação policial</x:v>
      </x:c>
      <x:c r="F59" s="72" t="str">
        <x:v>Citado entre alvos/investigados de fase da Compliance Zero.</x:v>
      </x:c>
      <x:c r="G59" s="72" t="str">
        <x:v>Investigação não equivale a condenação.</x:v>
      </x:c>
      <x:c r="H59" s="72" t="str">
        <x:v>Alvo/investigado; presunção de inocência</x:v>
      </x:c>
      <x:c r="I59" s="77" t="n">
        <x:v>2</x:v>
      </x:c>
      <x:c r="J59" s="72" t="str">
        <x:v>Setorial</x:v>
      </x:c>
      <x:c r="K59" s="72" t="str">
        <x:v>Possível elo operacional/patrimonial.</x:v>
      </x:c>
      <x:c r="L59" s="79" t="str">
        <x:v>https://noticias.stf.jus.br/postsnoticias/stf-atende-a-pedido-da-pf-e-determina-prisao-de-daniel-vorcaro-e-outros-investigados-por-supostas-fraudes-no-banco-master/</x:v>
      </x:c>
      <x:c r="M59" s="79" t="str"/>
    </x:row>
    <x:row r="60" ht="54" customHeight="1">
      <x:c r="A60" s="71" t="str">
        <x:v>Gabriel Galípolo</x:v>
      </x:c>
      <x:c r="B60" s="71" t="str">
        <x:v>Banco Central</x:v>
      </x:c>
      <x:c r="C60" s="71" t="str">
        <x:v>Presidente do Banco Central</x:v>
      </x:c>
      <x:c r="D60" s="71" t="str">
        <x:v>B — direto documentado/controvertido</x:v>
      </x:c>
      <x:c r="E60" s="71" t="str">
        <x:v>Agenda e reunião institucional</x:v>
      </x:c>
      <x:c r="F60" s="71" t="str">
        <x:v>Nome consta da agenda; participou de reunião no Planalto com Vorcaro e autoridades sobre o banco.</x:v>
      </x:c>
      <x:c r="G60" s="71" t="str">
        <x:v>Reunião institucional não prova favorecimento; o BC manteve atuação regulatória que culminou em medidas contra o grupo.</x:v>
      </x:c>
      <x:c r="H60" s="71" t="str">
        <x:v>Contato institucional; sem imputação individual concluída</x:v>
      </x:c>
      <x:c r="I60" s="78" t="n">
        <x:v>5</x:v>
      </x:c>
      <x:c r="J60" s="71" t="str">
        <x:v>Nacional/internacional</x:v>
      </x:c>
      <x:c r="K60" s="71" t="str">
        <x:v>Chefia a autoridade monetária brasileira e representa o país no sistema financeiro global.</x:v>
      </x:c>
      <x:c r="L60" s="80" t="str">
        <x:v>https://www.poder360.com.br/poder-justica/agenda-de-vorcaro-tinha-toffoli-moraes-e-nunes-marques-leia-a-lista/</x:v>
      </x:c>
      <x:c r="M60" s="80" t="str">
        <x:v>https://www.gazetadopovo.com.br/ideias/moraes-gonet-veja-lista-atualizada-quem-envolveu-vorcaro/</x:v>
      </x:c>
    </x:row>
    <x:row r="61" ht="54" customHeight="1">
      <x:c r="A61" s="72" t="str">
        <x:v>Geraldo Samor (possível 'Geraldo Brazil Journal')</x:v>
      </x:c>
      <x:c r="B61" s="72" t="str">
        <x:v>Mídia</x:v>
      </x:c>
      <x:c r="C61" s="72" t="str">
        <x:v>Publisher do Brazil Journal</x:v>
      </x:c>
      <x:c r="D61" s="72" t="str">
        <x:v>E — fraco/ambíguo</x:v>
      </x:c>
      <x:c r="E61" s="72" t="str">
        <x:v>Alias possivelmente associado; mensagens</x:v>
      </x:c>
      <x:c r="F61" s="72" t="str">
        <x:v>Reportagens associam o contato 'Geraldo Brazil Journal' a Samor e descrevem tentativas de alterar cobertura.</x:v>
      </x:c>
      <x:c r="G61" s="72" t="str">
        <x:v>A PF não confirmou publicamente a identidade do usuário do aparelho; a associação deve permanecer como hipótese.</x:v>
      </x:c>
      <x:c r="H61" s="72" t="str">
        <x:v>Identidade do contato não confirmada pela PF</x:v>
      </x:c>
      <x:c r="I61" s="77" t="n">
        <x:v>4</x:v>
      </x:c>
      <x:c r="J61" s="72" t="str">
        <x:v>Nacional/setorial</x:v>
      </x:c>
      <x:c r="K61" s="72" t="str">
        <x:v>Comanda veículo influente entre finanças, empresas e formuladores de políticas.</x:v>
      </x:c>
      <x:c r="L61" s="79" t="str">
        <x:v>https://www1.folha.uol.com.br/poder/2026/09/mensagens-indicam-acao-de-vorcaro-para-mudar-reportagens-no-brazil-journal.shtml</x:v>
      </x:c>
      <x:c r="M61" s="79" t="str">
        <x:v>https://iclnoticias.com.br/moraes-pediu-inclusao-em-materia-tony-blair/</x:v>
      </x:c>
    </x:row>
    <x:row r="62" ht="54" customHeight="1">
      <x:c r="A62" s="71" t="str">
        <x:v>Gilmar Mendes</x:v>
      </x:c>
      <x:c r="B62" s="71" t="str">
        <x:v>Judiciário</x:v>
      </x:c>
      <x:c r="C62" s="71" t="str">
        <x:v>Ministro do STF</x:v>
      </x:c>
      <x:c r="D62" s="71" t="str">
        <x:v>E — fraco/corrigido</x:v>
      </x:c>
      <x:c r="E62" s="71" t="str">
        <x:v>Evento patrocinado; pista de voo corrigida</x:v>
      </x:c>
      <x:c r="F62" s="71" t="str">
        <x:v>Participou de fórum/agenda com autoridades; uma associação de voo a Vorcaro foi corrigida: o convite teria vindo de Marcos Molina.</x:v>
      </x:c>
      <x:c r="G62" s="71" t="str">
        <x:v>Não há vínculo demonstrado entre o voo citado e Vorcaro; presença em evento não prova relação pessoal ou ilícito.</x:v>
      </x:c>
      <x:c r="H62" s="71" t="str">
        <x:v>Pista corrigida; sem imputação individual indicada</x:v>
      </x:c>
      <x:c r="I62" s="78" t="n">
        <x:v>5</x:v>
      </x:c>
      <x:c r="J62" s="71" t="str">
        <x:v>Nacional/global</x:v>
      </x:c>
      <x:c r="K62" s="71" t="str">
        <x:v>Ministro decano do STF com grande influência constitucional e internacional.</x:v>
      </x:c>
      <x:c r="L62" s="80" t="str">
        <x:v>https://www.gazetadopovo.com.br/ideias/moraes-gonet-veja-lista-atualizada-quem-envolveu-vorcaro/</x:v>
      </x:c>
      <x:c r="M62" s="80" t="str">
        <x:v>https://www1.folha.uol.com.br/mercado/2026/04/master-gastou-r-60-milhoes-com-autoridades-da-republica-em-londres-nova-york-e-lisboa.shtml</x:v>
      </x:c>
    </x:row>
    <x:row r="63" ht="54" customHeight="1">
      <x:c r="A63" s="72" t="str">
        <x:v>Guido Mantega</x:v>
      </x:c>
      <x:c r="B63" s="72" t="str">
        <x:v>Política/Economia</x:v>
      </x:c>
      <x:c r="C63" s="72" t="str">
        <x:v>Ex-ministro da Fazenda</x:v>
      </x:c>
      <x:c r="D63" s="72" t="str">
        <x:v>A — direto confirmado</x:v>
      </x:c>
      <x:c r="E63" s="72" t="str">
        <x:v>Consultoria e intermediação política</x:v>
      </x:c>
      <x:c r="F63" s="72" t="str">
        <x:v>Foi contratado para aconselhamento/articulação relacionada à tentativa de venda ao BRB; reportagem cita pagamentos à Pollaris.</x:v>
      </x:c>
      <x:c r="G63" s="72" t="str">
        <x:v>Mantega não apresentou comentário específico sobre todos os valores citados; consultoria não prova irregularidade.</x:v>
      </x:c>
      <x:c r="H63" s="72" t="str">
        <x:v>Relação comercial documentada; citado em inquérito</x:v>
      </x:c>
      <x:c r="I63" s="77" t="n">
        <x:v>5</x:v>
      </x:c>
      <x:c r="J63" s="72" t="str">
        <x:v>Nacional/internacional</x:v>
      </x:c>
      <x:c r="K63" s="72" t="str">
        <x:v>Ex-ministro da Fazenda com acesso a governo, bancos e organismos internacionais.</x:v>
      </x:c>
      <x:c r="L63" s="79" t="str">
        <x:v>https://www.gazetadopovo.com.br/ideias/moraes-gonet-veja-lista-atualizada-quem-envolveu-vorcaro/</x:v>
      </x:c>
      <x:c r="M63" s="79" t="str"/>
    </x:row>
    <x:row r="64" ht="54" customHeight="1">
      <x:c r="A64" s="71" t="str">
        <x:v>Guilherme Barros</x:v>
      </x:c>
      <x:c r="B64" s="71" t="str">
        <x:v>Política/Assessoria</x:v>
      </x:c>
      <x:c r="C64" s="71" t="str">
        <x:v>Ex-assessor de Guido Mantega</x:v>
      </x:c>
      <x:c r="D64" s="71" t="str">
        <x:v>C — agenda apenas</x:v>
      </x:c>
      <x:c r="E64" s="71" t="str">
        <x:v>Contato salvo</x:v>
      </x:c>
      <x:c r="F64" s="71" t="str">
        <x:v>Nome aparece na agenda periciada.</x:v>
      </x:c>
      <x:c r="G64" s="71" t="str">
        <x:v>A fonte-base não demonstra interação ou irregularidade.</x:v>
      </x:c>
      <x:c r="H64" s="71" t="str">
        <x:v>Sem imputação identificada na fonte-base</x:v>
      </x:c>
      <x:c r="I64" s="78" t="n">
        <x:v>2</x:v>
      </x:c>
      <x:c r="J64" s="71" t="str">
        <x:v>Nacional/setorial</x:v>
      </x:c>
      <x:c r="K64" s="71" t="str">
        <x:v>Possível ponte com ex-ministro e círculos político-econômicos.</x:v>
      </x:c>
      <x:c r="L64" s="80" t="str">
        <x:v>https://www.poder360.com.br/poder-justica/agenda-de-vorcaro-tinha-toffoli-moraes-e-nunes-marques-leia-a-lista/</x:v>
      </x:c>
      <x:c r="M64" s="80" t="str"/>
    </x:row>
    <x:row r="65" ht="54" customHeight="1">
      <x:c r="A65" s="72" t="str">
        <x:v>Guilherme Henrique Sodré Martins</x:v>
      </x:c>
      <x:c r="B65" s="72" t="str">
        <x:v>Negócios/Família política</x:v>
      </x:c>
      <x:c r="C65" s="72" t="str">
        <x:v>Empresário; enteado de Jaques Wagner</x:v>
      </x:c>
      <x:c r="D65" s="72" t="str">
        <x:v>D — indireto/potencial</x:v>
      </x:c>
      <x:c r="E65" s="72" t="str">
        <x:v>Operação policial</x:v>
      </x:c>
      <x:c r="F65" s="72" t="str">
        <x:v>Alvo de busca na fase relacionada a Jaques Wagner e negócios familiares.</x:v>
      </x:c>
      <x:c r="G65" s="72" t="str">
        <x:v>Medida investigativa não equivale a condenação.</x:v>
      </x:c>
      <x:c r="H65" s="72" t="str">
        <x:v>Alvo/investigado; presunção de inocência</x:v>
      </x:c>
      <x:c r="I65" s="77" t="n">
        <x:v>2</x:v>
      </x:c>
      <x:c r="J65" s="72" t="str">
        <x:v>Nacional/setorial</x:v>
      </x:c>
      <x:c r="K65" s="72" t="str">
        <x:v>Ligação familiar com liderança política e possível papel empresarial.</x:v>
      </x:c>
      <x:c r="L65" s="79" t="str">
        <x:v>https://www.cnnbrasil.com.br/politica/veja-quem-sao-os-oito-alvos-da-nova-fase-da-operacao-do-caso-master/</x:v>
      </x:c>
      <x:c r="M65" s="79" t="str">
        <x:v>https://noticias.stf.jus.br/postsnoticias/stf-autoriza-9a-fase-da-operacao-compliance-zero-em-sp-ba-e-df/</x:v>
      </x:c>
    </x:row>
    <x:row r="66" ht="54" customHeight="1">
      <x:c r="A66" s="71" t="str">
        <x:v>Gustavo Motorista</x:v>
      </x:c>
      <x:c r="B66" s="71" t="str">
        <x:v>Operacional</x:v>
      </x:c>
      <x:c r="C66" s="71" t="str">
        <x:v>Motorista/funcionário identificado por alcunha</x:v>
      </x:c>
      <x:c r="D66" s="71" t="str">
        <x:v>B — direto documentado/controvertido</x:v>
      </x:c>
      <x:c r="E66" s="71" t="str">
        <x:v>Mensagens operacionais</x:v>
      </x:c>
      <x:c r="F66" s="71" t="str">
        <x:v>Aparece em mensagens/logística do núcleo de Vorcaro.</x:v>
      </x:c>
      <x:c r="G66" s="71" t="str">
        <x:v>Identidade civil e papel além da logística não estão confirmados.</x:v>
      </x:c>
      <x:c r="H66" s="71" t="str">
        <x:v>Contato operacional</x:v>
      </x:c>
      <x:c r="I66" s="78" t="n">
        <x:v>1</x:v>
      </x:c>
      <x:c r="J66" s="71" t="str">
        <x:v>Operacional</x:v>
      </x:c>
      <x:c r="K66" s="71" t="str">
        <x:v>Baixa influência pública; utilidade probatória pode estar na logística.</x:v>
      </x:c>
      <x:c r="L66" s="80" t="str">
        <x:v>https://static.poder360.com.br/uploads/2026/09/pet16662_relatorio_pf_celular_vorcaro_moraes_gonet_andrei_barci.pdf</x:v>
      </x:c>
      <x:c r="M66" s="80" t="str"/>
    </x:row>
    <x:row r="67" ht="54" customHeight="1">
      <x:c r="A67" s="72" t="str">
        <x:v>Henrique Meirelles</x:v>
      </x:c>
      <x:c r="B67" s="72" t="str">
        <x:v>Economia/Finanças</x:v>
      </x:c>
      <x:c r="C67" s="72" t="str">
        <x:v>Ex-presidente do BC e ex-ministro da Fazenda</x:v>
      </x:c>
      <x:c r="D67" s="72" t="str">
        <x:v>A — direto confirmado</x:v>
      </x:c>
      <x:c r="E67" s="72" t="str">
        <x:v>Conselho consultivo remunerado</x:v>
      </x:c>
      <x:c r="F67" s="72" t="str">
        <x:v>Integrou comitê consultivo do Master de março de 2024 a julho de 2025; valores de remuneração foram noticiados.</x:v>
      </x:c>
      <x:c r="G67" s="72" t="str">
        <x:v>Meirelles afirma que sua função foi estritamente consultiva e sem gestão executiva.</x:v>
      </x:c>
      <x:c r="H67" s="72" t="str">
        <x:v>Relação profissional admitida</x:v>
      </x:c>
      <x:c r="I67" s="77" t="n">
        <x:v>5</x:v>
      </x:c>
      <x:c r="J67" s="72" t="str">
        <x:v>Nacional/internacional</x:v>
      </x:c>
      <x:c r="K67" s="72" t="str">
        <x:v>Um dos brasileiros de maior projeção em política monetária e finanças globais.</x:v>
      </x:c>
      <x:c r="L67" s="79" t="str">
        <x:v>https://www.gazetadopovo.com.br/ideias/moraes-gonet-veja-lista-atualizada-quem-envolveu-vorcaro/</x:v>
      </x:c>
      <x:c r="M67" s="79" t="str"/>
    </x:row>
    <x:row r="68" ht="54" customHeight="1">
      <x:c r="A68" s="71" t="str">
        <x:v>Henrique Moura Vorcaro</x:v>
      </x:c>
      <x:c r="B68" s="71" t="str">
        <x:v>Família/Negócios</x:v>
      </x:c>
      <x:c r="C68" s="71" t="str">
        <x:v>Parente de Daniel Vorcaro; investigado</x:v>
      </x:c>
      <x:c r="D68" s="71" t="str">
        <x:v>D — indireto/potencial</x:v>
      </x:c>
      <x:c r="E68" s="71" t="str">
        <x:v>Família e operação policial</x:v>
      </x:c>
      <x:c r="F68" s="71" t="str">
        <x:v>Citado entre alvos/investigados ligados ao núcleo familiar.</x:v>
      </x:c>
      <x:c r="G68" s="71" t="str">
        <x:v>Laço familiar e investigação não comprovam participação criminosa.</x:v>
      </x:c>
      <x:c r="H68" s="71" t="str">
        <x:v>Alvo/investigado; presunção de inocência</x:v>
      </x:c>
      <x:c r="I68" s="78" t="n">
        <x:v>2</x:v>
      </x:c>
      <x:c r="J68" s="71" t="str">
        <x:v>Nacional/setorial</x:v>
      </x:c>
      <x:c r="K68" s="71" t="str">
        <x:v>Possível elo patrimonial e operacional do núcleo familiar.</x:v>
      </x:c>
      <x:c r="L68" s="80" t="str">
        <x:v>https://noticias.stf.jus.br/postsnoticias/stf-atende-a-pedido-da-pf-e-determina-prisao-de-daniel-vorcaro-e-outros-investigados-por-supostas-fraudes-no-banco-master/</x:v>
      </x:c>
      <x:c r="M68" s="80" t="str"/>
    </x:row>
    <x:row r="69" ht="54" customHeight="1">
      <x:c r="A69" s="72" t="str">
        <x:v>Henrique Peretto</x:v>
      </x:c>
      <x:c r="B69" s="72" t="str">
        <x:v>Fintech</x:v>
      </x:c>
      <x:c r="C69" s="72" t="str">
        <x:v>Cofundador da Cartos</x:v>
      </x:c>
      <x:c r="D69" s="72" t="str">
        <x:v>C — agenda apenas</x:v>
      </x:c>
      <x:c r="E69" s="72" t="str">
        <x:v>Contato salvo</x:v>
      </x:c>
      <x:c r="F69" s="72" t="str">
        <x:v>Nome aparece na agenda periciada.</x:v>
      </x:c>
      <x:c r="G69" s="72" t="str">
        <x:v>A fonte-base não demonstra negócio ou irregularidade.</x:v>
      </x:c>
      <x:c r="H69" s="72" t="str">
        <x:v>Sem imputação identificada na fonte-base</x:v>
      </x:c>
      <x:c r="I69" s="77" t="n">
        <x:v>3</x:v>
      </x:c>
      <x:c r="J69" s="72" t="str">
        <x:v>Nacional/setorial</x:v>
      </x:c>
      <x:c r="K69" s="72" t="str">
        <x:v>Empreendedor do ecossistema de tecnologia financeira.</x:v>
      </x:c>
      <x:c r="L69" s="79" t="str">
        <x:v>https://www.poder360.com.br/poder-justica/agenda-de-vorcaro-tinha-toffoli-moraes-e-nunes-marques-leia-a-lista/</x:v>
      </x:c>
      <x:c r="M69" s="79" t="str"/>
    </x:row>
    <x:row r="70" ht="54" customHeight="1">
      <x:c r="A70" s="71" t="str">
        <x:v>Hugo Motta</x:v>
      </x:c>
      <x:c r="B70" s="71" t="str">
        <x:v>Política</x:v>
      </x:c>
      <x:c r="C70" s="71" t="str">
        <x:v>Presidente da Câmara dos Deputados</x:v>
      </x:c>
      <x:c r="D70" s="71" t="str">
        <x:v>A — direto confirmado</x:v>
      </x:c>
      <x:c r="E70" s="71" t="str">
        <x:v>Agenda, mensagens, encontros e viagem</x:v>
      </x:c>
      <x:c r="F70" s="71" t="str">
        <x:v>Agenda e mensagens descrevem jantares, interlocução e reservas em Lisboa; também há negócios de empresa ligada a familiar noticiados.</x:v>
      </x:c>
      <x:c r="G70" s="71" t="str">
        <x:v>Motta nega irregularidade e favorecimento; negócios de familiares não provam benefício pessoal.</x:v>
      </x:c>
      <x:c r="H70" s="71" t="str">
        <x:v>Contato documentado; alegações sob apuração</x:v>
      </x:c>
      <x:c r="I70" s="78" t="n">
        <x:v>5</x:v>
      </x:c>
      <x:c r="J70" s="71" t="str">
        <x:v>Nacional</x:v>
      </x:c>
      <x:c r="K70" s="71" t="str">
        <x:v>Preside a Câmara e controla pauta legislativa e negociações nacionais.</x:v>
      </x:c>
      <x:c r="L70" s="80" t="str">
        <x:v>https://www.poder360.com.br/poder-justica/agenda-de-vorcaro-tinha-toffoli-moraes-e-nunes-marques-leia-a-lista/</x:v>
      </x:c>
      <x:c r="M70" s="80" t="str">
        <x:v>https://www.cnnbrasil.com.br/politica/relatorio-da-pf-expoe-articulacao-e-influencia-de-vorcaro-no-meio-politico/</x:v>
      </x:c>
    </x:row>
    <x:row r="71" ht="54" customHeight="1">
      <x:c r="A71" s="72" t="str">
        <x:v>Ibaneis Rocha</x:v>
      </x:c>
      <x:c r="B71" s="72" t="str">
        <x:v>Política</x:v>
      </x:c>
      <x:c r="C71" s="72" t="str">
        <x:v>Governador do Distrito Federal</x:v>
      </x:c>
      <x:c r="D71" s="72" t="str">
        <x:v>A — direto confirmado</x:v>
      </x:c>
      <x:c r="E71" s="72" t="str">
        <x:v>Agenda e reuniões</x:v>
      </x:c>
      <x:c r="F71" s="72" t="str">
        <x:v>Consta da agenda e admitiu quatro reuniões sobre a operação de venda do Master ao BRB.</x:v>
      </x:c>
      <x:c r="G71" s="72" t="str">
        <x:v>Ibaneis diz que não interveio no mérito e descreveu reuniões como sem resultado; nega irregularidade.</x:v>
      </x:c>
      <x:c r="H71" s="72" t="str">
        <x:v>Contato admitido; questões institucionais sob apuração</x:v>
      </x:c>
      <x:c r="I71" s="77" t="n">
        <x:v>5</x:v>
      </x:c>
      <x:c r="J71" s="72" t="str">
        <x:v>Nacional/regional</x:v>
      </x:c>
      <x:c r="K71" s="72" t="str">
        <x:v>Governa o DF e influencia diretamente o controlador do BRB.</x:v>
      </x:c>
      <x:c r="L71" s="79" t="str">
        <x:v>https://www.poder360.com.br/poder-justica/agenda-de-vorcaro-tinha-toffoli-moraes-e-nunes-marques-leia-a-lista/</x:v>
      </x:c>
      <x:c r="M71" s="79" t="str">
        <x:v>https://www.gazetadopovo.com.br/ideias/moraes-gonet-veja-lista-atualizada-quem-envolveu-vorcaro/</x:v>
      </x:c>
    </x:row>
    <x:row r="72" ht="54" customHeight="1">
      <x:c r="A72" s="71" t="str">
        <x:v>Irajá Abreu</x:v>
      </x:c>
      <x:c r="B72" s="71" t="str">
        <x:v>Política</x:v>
      </x:c>
      <x:c r="C72" s="71" t="str">
        <x:v>Senador pelo Tocantins</x:v>
      </x:c>
      <x:c r="D72" s="71" t="str">
        <x:v>C — agenda apenas</x:v>
      </x:c>
      <x:c r="E72" s="71" t="str">
        <x:v>Contato salvo</x:v>
      </x:c>
      <x:c r="F72" s="71" t="str">
        <x:v>Nome aparece na agenda periciada.</x:v>
      </x:c>
      <x:c r="G72" s="71" t="str">
        <x:v>A fonte-base não demonstra conversa ou irregularidade.</x:v>
      </x:c>
      <x:c r="H72" s="71" t="str">
        <x:v>Sem imputação identificada na fonte-base</x:v>
      </x:c>
      <x:c r="I72" s="78" t="n">
        <x:v>4</x:v>
      </x:c>
      <x:c r="J72" s="71" t="str">
        <x:v>Nacional</x:v>
      </x:c>
      <x:c r="K72" s="71" t="str">
        <x:v>Senador com influência legislativa e regional.</x:v>
      </x:c>
      <x:c r="L72" s="80" t="str">
        <x:v>https://www.poder360.com.br/poder-justica/agenda-de-vorcaro-tinha-toffoli-moraes-e-nunes-marques-leia-a-lista/</x:v>
      </x:c>
      <x:c r="M72" s="80" t="str"/>
    </x:row>
    <x:row r="73" ht="54" customHeight="1">
      <x:c r="A73" s="72" t="str">
        <x:v>Iris Rubins</x:v>
      </x:c>
      <x:c r="B73" s="72" t="str">
        <x:v>Negócios</x:v>
      </x:c>
      <x:c r="C73" s="72" t="str">
        <x:v>Diretora financeira da Cidade Matarazzo</x:v>
      </x:c>
      <x:c r="D73" s="72" t="str">
        <x:v>C — agenda apenas</x:v>
      </x:c>
      <x:c r="E73" s="72" t="str">
        <x:v>Contato salvo</x:v>
      </x:c>
      <x:c r="F73" s="72" t="str">
        <x:v>Nome aparece na agenda periciada.</x:v>
      </x:c>
      <x:c r="G73" s="72" t="str">
        <x:v>A fonte-base não demonstra negócio ou irregularidade.</x:v>
      </x:c>
      <x:c r="H73" s="72" t="str">
        <x:v>Sem imputação identificada na fonte-base</x:v>
      </x:c>
      <x:c r="I73" s="77" t="n">
        <x:v>3</x:v>
      </x:c>
      <x:c r="J73" s="72" t="str">
        <x:v>Setorial/internacional</x:v>
      </x:c>
      <x:c r="K73" s="72" t="str">
        <x:v>Executiva financeira de empreendimento de luxo e capital internacional.</x:v>
      </x:c>
      <x:c r="L73" s="79" t="str">
        <x:v>https://www.poder360.com.br/poder-justica/agenda-de-vorcaro-tinha-toffoli-moraes-e-nunes-marques-leia-a-lista/</x:v>
      </x:c>
      <x:c r="M73" s="79" t="str"/>
    </x:row>
    <x:row r="74" ht="54" customHeight="1">
      <x:c r="A74" s="71" t="str">
        <x:v>Jaques Wagner</x:v>
      </x:c>
      <x:c r="B74" s="71" t="str">
        <x:v>Política</x:v>
      </x:c>
      <x:c r="C74" s="71" t="str">
        <x:v>Senador; ex-governador e ex-ministro</x:v>
      </x:c>
      <x:c r="D74" s="71" t="str">
        <x:v>B — direto documentado/controvertido</x:v>
      </x:c>
      <x:c r="E74" s="71" t="str">
        <x:v>Intermediações e operação policial</x:v>
      </x:c>
      <x:c r="F74" s="71" t="str">
        <x:v>Foi alvo de fase da investigação; fontes citam indicação de Ricardo Lewandowski ao banco e negócios ligados a familiares.</x:v>
      </x:c>
      <x:c r="G74" s="71" t="str">
        <x:v>Wagner nega benefícios indevidos e diz que serviços foram regulares; investigação não equivale a culpa.</x:v>
      </x:c>
      <x:c r="H74" s="71" t="str">
        <x:v>Alvo/investigado; presunção de inocência</x:v>
      </x:c>
      <x:c r="I74" s="78" t="n">
        <x:v>5</x:v>
      </x:c>
      <x:c r="J74" s="71" t="str">
        <x:v>Nacional/internacional</x:v>
      </x:c>
      <x:c r="K74" s="71" t="str">
        <x:v>Liderança histórica do PT, senador e ex-ministro com forte acesso ao Executivo.</x:v>
      </x:c>
      <x:c r="L74" s="80" t="str">
        <x:v>https://noticias.stf.jus.br/postsnoticias/stf-autoriza-9a-fase-da-operacao-compliance-zero-em-sp-ba-e-df/</x:v>
      </x:c>
      <x:c r="M74" s="80" t="str">
        <x:v>https://www.gazetadopovo.com.br/ideias/moraes-gonet-veja-lista-atualizada-quem-envolveu-vorcaro/</x:v>
      </x:c>
    </x:row>
    <x:row r="75" ht="54" customHeight="1">
      <x:c r="A75" s="72" t="str">
        <x:v>Jerônimo Rodrigues</x:v>
      </x:c>
      <x:c r="B75" s="72" t="str">
        <x:v>Política</x:v>
      </x:c>
      <x:c r="C75" s="72" t="str">
        <x:v>Governador da Bahia</x:v>
      </x:c>
      <x:c r="D75" s="72" t="str">
        <x:v>D — indireto/potencial</x:v>
      </x:c>
      <x:c r="E75" s="72" t="str">
        <x:v>Relação institucional</x:v>
      </x:c>
      <x:c r="F75" s="72" t="str">
        <x:v>Governo da Bahia confirmou pagamentos de precatórios/Fundef por estruturas ligadas ao Master/Credcesta.</x:v>
      </x:c>
      <x:c r="G75" s="72" t="str">
        <x:v>O governador nega irregularidade; fluxo institucional não prova contato pessoal com Vorcaro.</x:v>
      </x:c>
      <x:c r="H75" s="72" t="str">
        <x:v>Sem contato pessoal demonstrado</x:v>
      </x:c>
      <x:c r="I75" s="77" t="n">
        <x:v>4</x:v>
      </x:c>
      <x:c r="J75" s="72" t="str">
        <x:v>Nacional/regional</x:v>
      </x:c>
      <x:c r="K75" s="72" t="str">
        <x:v>Governa grande estado e administra programas de alto valor.</x:v>
      </x:c>
      <x:c r="L75" s="79" t="str">
        <x:v>https://www.gazetadopovo.com.br/ideias/moraes-gonet-veja-lista-atualizada-quem-envolveu-vorcaro/</x:v>
      </x:c>
      <x:c r="M75" s="79" t="str"/>
    </x:row>
    <x:row r="76" ht="54" customHeight="1">
      <x:c r="A76" s="71" t="str">
        <x:v>João Carlos Mansur</x:v>
      </x:c>
      <x:c r="B76" s="71" t="str">
        <x:v>Finanças</x:v>
      </x:c>
      <x:c r="C76" s="71" t="str">
        <x:v>Fundador/ex-controlador da Reag</x:v>
      </x:c>
      <x:c r="D76" s="71" t="str">
        <x:v>B — direto documentado/controvertido</x:v>
      </x:c>
      <x:c r="E76" s="71" t="str">
        <x:v>Estruturas financeiras e colaboração</x:v>
      </x:c>
      <x:c r="F76" s="71" t="str">
        <x:v>Reag aparece em fundos e operações ligados ao ecossistema Master; Mansur firmou acordo de colaboração com foco em Vorcaro.</x:v>
      </x:c>
      <x:c r="G76" s="71" t="str">
        <x:v>Colaboração depende de homologação e corroboração; não é prova autônoma.</x:v>
      </x:c>
      <x:c r="H76" s="71" t="str">
        <x:v>Colaborador/investigado</x:v>
      </x:c>
      <x:c r="I76" s="78" t="n">
        <x:v>4</x:v>
      </x:c>
      <x:c r="J76" s="71" t="str">
        <x:v>Nacional/setorial</x:v>
      </x:c>
      <x:c r="K76" s="71" t="str">
        <x:v>Figura central para explicar fundos, veículos e fluxos financeiros complexos.</x:v>
      </x:c>
      <x:c r="L76" s="80" t="str">
        <x:v>https://www1.folha.uol.com.br/mercado/2026/09/ex-dono-da-reag-fecha-acordo-de-delacao-premiada-com-a-pgr-com-foco-em-vorcaro.shtml</x:v>
      </x:c>
      <x:c r="M76" s="80" t="str">
        <x:v>https://noticias.stf.jus.br/postsnoticias/stf-atende-a-pedido-da-pf-e-determina-prisao-de-daniel-vorcaro-e-outros-investigados-por-supostas-fraudes-no-banco-master/</x:v>
      </x:c>
    </x:row>
    <x:row r="77" ht="54" customHeight="1">
      <x:c r="A77" s="72" t="str">
        <x:v>João Doria</x:v>
      </x:c>
      <x:c r="B77" s="72" t="str">
        <x:v>Política/Negócios</x:v>
      </x:c>
      <x:c r="C77" s="72" t="str">
        <x:v>Empresário; ex-governador de São Paulo</x:v>
      </x:c>
      <x:c r="D77" s="72" t="str">
        <x:v>A — direto confirmado</x:v>
      </x:c>
      <x:c r="E77" s="72" t="str">
        <x:v>Mensagem</x:v>
      </x:c>
      <x:c r="F77" s="72" t="str">
        <x:v>Uma mensagem de maio de 2025 demonstra interlocução e preocupação com a crise reputacional.</x:v>
      </x:c>
      <x:c r="G77" s="72" t="str">
        <x:v>Doria diz que mantinha relação cordial antes das denúncias e não participou de negócios irregulares.</x:v>
      </x:c>
      <x:c r="H77" s="72" t="str">
        <x:v>Contato admitido/documentado</x:v>
      </x:c>
      <x:c r="I77" s="77" t="n">
        <x:v>4</x:v>
      </x:c>
      <x:c r="J77" s="72" t="str">
        <x:v>Nacional/internacional</x:v>
      </x:c>
      <x:c r="K77" s="72" t="str">
        <x:v>Ex-governador e empresário com redes nacionais e internacionais.</x:v>
      </x:c>
      <x:c r="L77" s="79" t="str">
        <x:v>https://www.poder360.com.br/poder-justica/agenda-de-vorcaro-tinha-toffoli-moraes-e-nunes-marques-leia-a-lista/</x:v>
      </x:c>
      <x:c r="M77" s="79" t="str">
        <x:v>https://www.gazetadopovo.com.br/ideias/moraes-gonet-veja-lista-atualizada-quem-envolveu-vorcaro/</x:v>
      </x:c>
    </x:row>
    <x:row r="78" ht="54" customHeight="1">
      <x:c r="A78" s="71" t="str">
        <x:v>João Paulo Brunet</x:v>
      </x:c>
      <x:c r="B78" s="71" t="str">
        <x:v>Negócios</x:v>
      </x:c>
      <x:c r="C78" s="71" t="str">
        <x:v>Executivo ligado a Nelson Tanure</x:v>
      </x:c>
      <x:c r="D78" s="71" t="str">
        <x:v>C — agenda apenas</x:v>
      </x:c>
      <x:c r="E78" s="71" t="str">
        <x:v>Contato salvo</x:v>
      </x:c>
      <x:c r="F78" s="71" t="str">
        <x:v>Nome aparece na agenda periciada.</x:v>
      </x:c>
      <x:c r="G78" s="71" t="str">
        <x:v>A fonte-base não demonstra interação específica ou ilícito.</x:v>
      </x:c>
      <x:c r="H78" s="71" t="str">
        <x:v>Sem imputação identificada na fonte-base</x:v>
      </x:c>
      <x:c r="I78" s="78" t="n">
        <x:v>2</x:v>
      </x:c>
      <x:c r="J78" s="71" t="str">
        <x:v>Nacional/setorial</x:v>
      </x:c>
      <x:c r="K78" s="71" t="str">
        <x:v>Possível ponte operacional com grupo investidor influente.</x:v>
      </x:c>
      <x:c r="L78" s="80" t="str">
        <x:v>https://www.poder360.com.br/poder-justica/agenda-de-vorcaro-tinha-toffoli-moraes-e-nunes-marques-leia-a-lista/</x:v>
      </x:c>
      <x:c r="M78" s="80" t="str"/>
    </x:row>
    <x:row r="79" ht="54" customHeight="1">
      <x:c r="A79" s="72" t="str">
        <x:v>Joesley Batista</x:v>
      </x:c>
      <x:c r="B79" s="72" t="str">
        <x:v>Negócios</x:v>
      </x:c>
      <x:c r="C79" s="72" t="str">
        <x:v>Empresário; acionista da J&amp;F/JBS</x:v>
      </x:c>
      <x:c r="D79" s="72" t="str">
        <x:v>C — agenda apenas</x:v>
      </x:c>
      <x:c r="E79" s="72" t="str">
        <x:v>Contato salvo</x:v>
      </x:c>
      <x:c r="F79" s="72" t="str">
        <x:v>Nome aparece na agenda periciada.</x:v>
      </x:c>
      <x:c r="G79" s="72" t="str">
        <x:v>A agenda não demonstra conversa, negócio ou irregularidade.</x:v>
      </x:c>
      <x:c r="H79" s="72" t="str">
        <x:v>Sem imputação identificada na fonte-base</x:v>
      </x:c>
      <x:c r="I79" s="77" t="n">
        <x:v>5</x:v>
      </x:c>
      <x:c r="J79" s="72" t="str">
        <x:v>Global</x:v>
      </x:c>
      <x:c r="K79" s="72" t="str">
        <x:v>Controla um dos maiores grupos de proteína e investimentos do mundo.</x:v>
      </x:c>
      <x:c r="L79" s="79" t="str">
        <x:v>https://www.poder360.com.br/poder-justica/agenda-de-vorcaro-tinha-toffoli-moraes-e-nunes-marques-leia-a-lista/</x:v>
      </x:c>
      <x:c r="M79" s="79" t="str"/>
    </x:row>
    <x:row r="80" ht="54" customHeight="1">
      <x:c r="A80" s="71" t="str">
        <x:v>Jorge Messias</x:v>
      </x:c>
      <x:c r="B80" s="71" t="str">
        <x:v>Executivo/Advocacia pública</x:v>
      </x:c>
      <x:c r="C80" s="71" t="str">
        <x:v>Advogado-geral da União no período citado</x:v>
      </x:c>
      <x:c r="D80" s="71" t="str">
        <x:v>D — indireto/potencial</x:v>
      </x:c>
      <x:c r="E80" s="71" t="str">
        <x:v>Evento patrocinado</x:v>
      </x:c>
      <x:c r="F80" s="71" t="str">
        <x:v>Listado entre autoridades presentes em eventos financiados pelo Master.</x:v>
      </x:c>
      <x:c r="G80" s="71" t="str">
        <x:v>Presença em evento não demonstra contato pessoal, favor ou irregularidade.</x:v>
      </x:c>
      <x:c r="H80" s="71" t="str">
        <x:v>Sem imputação individual indicada</x:v>
      </x:c>
      <x:c r="I80" s="78" t="n">
        <x:v>4</x:v>
      </x:c>
      <x:c r="J80" s="71" t="str">
        <x:v>Nacional</x:v>
      </x:c>
      <x:c r="K80" s="71" t="str">
        <x:v>Chefia a defesa jurídica da União.</x:v>
      </x:c>
      <x:c r="L80" s="80" t="str">
        <x:v>https://www1.folha.uol.com.br/mercado/2026/04/master-gastou-r-60-milhoes-com-autoridades-da-republica-em-londres-nova-york-e-lisboa.shtml</x:v>
      </x:c>
      <x:c r="M80" s="80" t="str"/>
    </x:row>
    <x:row r="81" ht="54" customHeight="1">
      <x:c r="A81" s="72" t="str">
        <x:v>José Dirceu</x:v>
      </x:c>
      <x:c r="B81" s="72" t="str">
        <x:v>Política</x:v>
      </x:c>
      <x:c r="C81" s="72" t="str">
        <x:v>Ex-ministro-chefe da Casa Civil</x:v>
      </x:c>
      <x:c r="D81" s="72" t="str">
        <x:v>C — agenda apenas</x:v>
      </x:c>
      <x:c r="E81" s="72" t="str">
        <x:v>Contato salvo</x:v>
      </x:c>
      <x:c r="F81" s="72" t="str">
        <x:v>Nome aparece na agenda periciada.</x:v>
      </x:c>
      <x:c r="G81" s="72" t="str">
        <x:v>A fonte-base não demonstra interação ou irregularidade.</x:v>
      </x:c>
      <x:c r="H81" s="72" t="str">
        <x:v>Sem imputação identificada na fonte-base</x:v>
      </x:c>
      <x:c r="I81" s="77" t="n">
        <x:v>4</x:v>
      </x:c>
      <x:c r="J81" s="72" t="str">
        <x:v>Nacional</x:v>
      </x:c>
      <x:c r="K81" s="72" t="str">
        <x:v>Articulador político histórico com influência em partidos e governo.</x:v>
      </x:c>
      <x:c r="L81" s="79" t="str">
        <x:v>https://www.poder360.com.br/poder-justica/agenda-de-vorcaro-tinha-toffoli-moraes-e-nunes-marques-leia-a-lista/</x:v>
      </x:c>
      <x:c r="M81" s="79" t="str"/>
    </x:row>
    <x:row r="82" ht="54" customHeight="1">
      <x:c r="A82" s="71" t="str">
        <x:v>José Michel Esteban</x:v>
      </x:c>
      <x:c r="B82" s="71" t="str">
        <x:v>Identidade incerta</x:v>
      </x:c>
      <x:c r="C82" s="71" t="str">
        <x:v>Contato; cargo não confirmado na fonte-base</x:v>
      </x:c>
      <x:c r="D82" s="71" t="str">
        <x:v>E — fraco/ambíguo</x:v>
      </x:c>
      <x:c r="E82" s="71" t="str">
        <x:v>Contato salvo</x:v>
      </x:c>
      <x:c r="F82" s="71" t="str">
        <x:v>Nome consta do material periciado.</x:v>
      </x:c>
      <x:c r="G82" s="71" t="str">
        <x:v>Não há identificação profissional segura.</x:v>
      </x:c>
      <x:c r="H82" s="71" t="str">
        <x:v>Identidade/cargo não confirmados</x:v>
      </x:c>
      <x:c r="I82" s="78" t="n">
        <x:v>1</x:v>
      </x:c>
      <x:c r="J82" s="71" t="str">
        <x:v>Indeterminado</x:v>
      </x:c>
      <x:c r="K82" s="71" t="str">
        <x:v>Sem base para avaliar influência.</x:v>
      </x:c>
      <x:c r="L82" s="80" t="str">
        <x:v>https://www.poder360.com.br/poder-justica/agenda-de-vorcaro-tinha-toffoli-moraes-e-nunes-marques-leia-a-lista/</x:v>
      </x:c>
      <x:c r="M82" s="80" t="str"/>
    </x:row>
    <x:row r="83" ht="54" customHeight="1">
      <x:c r="A83" s="72" t="str">
        <x:v>Kevin Nunes Marques</x:v>
      </x:c>
      <x:c r="B83" s="72" t="str">
        <x:v>Família/Negócios</x:v>
      </x:c>
      <x:c r="C83" s="72" t="str">
        <x:v>Advogado/consultor; filho de Nunes Marques</x:v>
      </x:c>
      <x:c r="D83" s="72" t="str">
        <x:v>D — indireto/potencial</x:v>
      </x:c>
      <x:c r="E83" s="72" t="str">
        <x:v>Pagamentos a consultoria ligada</x:v>
      </x:c>
      <x:c r="F83" s="72" t="str">
        <x:v>Dados de Coaf citados por reportagem relacionam consultoria ligada a Kevin a pagamentos de Master/JBS.</x:v>
      </x:c>
      <x:c r="G83" s="72" t="str">
        <x:v>Pagamentos empresariais não provam interferência do ministro nem ilicitude; falta conclusão pública.</x:v>
      </x:c>
      <x:c r="H83" s="72" t="str">
        <x:v>Citado em apuração</x:v>
      </x:c>
      <x:c r="I83" s="77" t="n">
        <x:v>2</x:v>
      </x:c>
      <x:c r="J83" s="72" t="str">
        <x:v>Nacional/setorial</x:v>
      </x:c>
      <x:c r="K83" s="72" t="str">
        <x:v>Ligação familiar com ministro do STF torna o fluxo sensível.</x:v>
      </x:c>
      <x:c r="L83" s="79" t="str">
        <x:v>https://www.gazetadopovo.com.br/ideias/moraes-gonet-veja-lista-atualizada-quem-envolveu-vorcaro/</x:v>
      </x:c>
      <x:c r="M83" s="79" t="str"/>
    </x:row>
    <x:row r="84" ht="54" customHeight="1">
      <x:c r="A84" s="71" t="str">
        <x:v>Leandro Serrano Giunchetti</x:v>
      </x:c>
      <x:c r="B84" s="71" t="str">
        <x:v>Banco Master/Eventos</x:v>
      </x:c>
      <x:c r="C84" s="71" t="str">
        <x:v>Funcionário/organizador ligado a Vorcaro</x:v>
      </x:c>
      <x:c r="D84" s="71" t="str">
        <x:v>A — direto confirmado</x:v>
      </x:c>
      <x:c r="E84" s="71" t="str">
        <x:v>Agenda e logística</x:v>
      </x:c>
      <x:c r="F84" s="71" t="str">
        <x:v>Consta da agenda e aparece organizando evento em Londres e contatos com convidados.</x:v>
      </x:c>
      <x:c r="G84" s="71" t="str">
        <x:v>Papel operacional não implica irregularidade.</x:v>
      </x:c>
      <x:c r="H84" s="71" t="str">
        <x:v>Contato operacional documentado</x:v>
      </x:c>
      <x:c r="I84" s="78" t="n">
        <x:v>2</x:v>
      </x:c>
      <x:c r="J84" s="71" t="str">
        <x:v>Operacional/internacional</x:v>
      </x:c>
      <x:c r="K84" s="71" t="str">
        <x:v>Ponte prática para eventos que reuniram autoridades de alto nível.</x:v>
      </x:c>
      <x:c r="L84" s="80" t="str">
        <x:v>https://www.poder360.com.br/poder-justica/agenda-de-vorcaro-tinha-toffoli-moraes-e-nunes-marques-leia-a-lista/</x:v>
      </x:c>
      <x:c r="M84" s="80" t="str">
        <x:v>https://static.poder360.com.br/uploads/2026/09/pet16662_relatorio_pf_celular_vorcaro_moraes_gonet_andrei_barci.pdf</x:v>
      </x:c>
    </x:row>
    <x:row r="85" ht="54" customHeight="1">
      <x:c r="A85" s="72" t="str">
        <x:v>Leonardo Augusto Furtado Palhares</x:v>
      </x:c>
      <x:c r="B85" s="72" t="str">
        <x:v>Advocacia</x:v>
      </x:c>
      <x:c r="C85" s="72" t="str">
        <x:v>Advogado de Vorcaro</x:v>
      </x:c>
      <x:c r="D85" s="72" t="str">
        <x:v>A — direto confirmado</x:v>
      </x:c>
      <x:c r="E85" s="72" t="str">
        <x:v>Assessoria jurídica e documentos</x:v>
      </x:c>
      <x:c r="F85" s="72" t="str">
        <x:v>Relatório o aponta preparando documentos em tratativas envolvendo escritório Barci/Viking e ativos aeronáuticos.</x:v>
      </x:c>
      <x:c r="G85" s="72" t="str">
        <x:v>Atuação advocatícia e preparação documental não provam ilícito.</x:v>
      </x:c>
      <x:c r="H85" s="72" t="str">
        <x:v>Assessor jurídico citado em relatório</x:v>
      </x:c>
      <x:c r="I85" s="77" t="n">
        <x:v>3</x:v>
      </x:c>
      <x:c r="J85" s="72" t="str">
        <x:v>Nacional/setorial</x:v>
      </x:c>
      <x:c r="K85" s="72" t="str">
        <x:v>Operador jurídico de contratos sensíveis do núcleo.</x:v>
      </x:c>
      <x:c r="L85" s="79" t="str">
        <x:v>https://static.poder360.com.br/uploads/2026/09/pet16662_relatorio_pf_celular_vorcaro_moraes_gonet_andrei_barci.pdf</x:v>
      </x:c>
      <x:c r="M85" s="79" t="str"/>
    </x:row>
    <x:row r="86" ht="54" customHeight="1">
      <x:c r="A86" s="71" t="str">
        <x:v>Leonardo Mantega</x:v>
      </x:c>
      <x:c r="B86" s="71" t="str">
        <x:v>Família/Negócios</x:v>
      </x:c>
      <x:c r="C86" s="71" t="str">
        <x:v>Filho de Guido Mantega</x:v>
      </x:c>
      <x:c r="D86" s="71" t="str">
        <x:v>C — agenda apenas</x:v>
      </x:c>
      <x:c r="E86" s="71" t="str">
        <x:v>Contato salvo</x:v>
      </x:c>
      <x:c r="F86" s="71" t="str">
        <x:v>Nome aparece na agenda periciada.</x:v>
      </x:c>
      <x:c r="G86" s="71" t="str">
        <x:v>Contato salvo não comprova intermediação nem irregularidade.</x:v>
      </x:c>
      <x:c r="H86" s="71" t="str">
        <x:v>Sem imputação identificada na fonte-base</x:v>
      </x:c>
      <x:c r="I86" s="78" t="n">
        <x:v>2</x:v>
      </x:c>
      <x:c r="J86" s="71" t="str">
        <x:v>Nacional/setorial</x:v>
      </x:c>
      <x:c r="K86" s="71" t="str">
        <x:v>Conexão familiar com ex-ministro da Fazenda.</x:v>
      </x:c>
      <x:c r="L86" s="80" t="str">
        <x:v>https://www.poder360.com.br/poder-justica/agenda-de-vorcaro-tinha-toffoli-moraes-e-nunes-marques-leia-a-lista/</x:v>
      </x:c>
      <x:c r="M86" s="80" t="str"/>
    </x:row>
    <x:row r="87" ht="54" customHeight="1">
      <x:c r="A87" s="72" t="str">
        <x:v>Lili Maxima</x:v>
      </x:c>
      <x:c r="B87" s="72" t="str">
        <x:v>Identidade incerta</x:v>
      </x:c>
      <x:c r="C87" s="72" t="str">
        <x:v>Contato/alcunha; identidade não confirmada</x:v>
      </x:c>
      <x:c r="D87" s="72" t="str">
        <x:v>E — fraco/ambíguo</x:v>
      </x:c>
      <x:c r="E87" s="72" t="str">
        <x:v>Contato salvo</x:v>
      </x:c>
      <x:c r="F87" s="72" t="str">
        <x:v>Rótulo consta da agenda periciada.</x:v>
      </x:c>
      <x:c r="G87" s="72" t="str">
        <x:v>Não há base pública para identificar a pessoa.</x:v>
      </x:c>
      <x:c r="H87" s="72" t="str">
        <x:v>Identidade não confirmada</x:v>
      </x:c>
      <x:c r="I87" s="77" t="n">
        <x:v>1</x:v>
      </x:c>
      <x:c r="J87" s="72" t="str">
        <x:v>Indeterminado</x:v>
      </x:c>
      <x:c r="K87" s="72" t="str">
        <x:v>Sem base para avaliar influência.</x:v>
      </x:c>
      <x:c r="L87" s="79" t="str">
        <x:v>https://www.poder360.com.br/poder-justica/agenda-de-vorcaro-tinha-toffoli-moraes-e-nunes-marques-leia-a-lista/</x:v>
      </x:c>
      <x:c r="M87" s="79" t="str"/>
    </x:row>
    <x:row r="88" ht="54" customHeight="1">
      <x:c r="A88" s="71" t="str">
        <x:v>Luis Felipe Salomão</x:v>
      </x:c>
      <x:c r="B88" s="71" t="str">
        <x:v>Judiciário</x:v>
      </x:c>
      <x:c r="C88" s="71" t="str">
        <x:v>Ministro do STJ</x:v>
      </x:c>
      <x:c r="D88" s="71" t="str">
        <x:v>B — direto documentado/controvertido</x:v>
      </x:c>
      <x:c r="E88" s="71" t="str">
        <x:v>Evento e mensagens de organização</x:v>
      </x:c>
      <x:c r="F88" s="71" t="str">
        <x:v>Relatórios sobre evento registram convite e pedido para levar o filho; seu nome aparece na logística de encontro patrocinado.</x:v>
      </x:c>
      <x:c r="G88" s="71" t="str">
        <x:v>Participação/convite não provam favor ou irregularidade.</x:v>
      </x:c>
      <x:c r="H88" s="71" t="str">
        <x:v>Citado em relatório; sem imputação individual indicada</x:v>
      </x:c>
      <x:c r="I88" s="78" t="n">
        <x:v>4</x:v>
      </x:c>
      <x:c r="J88" s="71" t="str">
        <x:v>Nacional/internacional</x:v>
      </x:c>
      <x:c r="K88" s="71" t="str">
        <x:v>Ministro de tribunal superior e liderança do Judiciário.</x:v>
      </x:c>
      <x:c r="L88" s="80" t="str">
        <x:v>https://www1.folha.uol.com.br/poder/2026/09/filho-de-gonet-pediu-a-vorcaro-para-ir-a-evento-em-londres-com-despesas-pagas-diz-pf.shtml</x:v>
      </x:c>
      <x:c r="M88" s="80" t="str">
        <x:v>https://www1.folha.uol.com.br/mercado/2026/04/master-gastou-r-60-milhoes-com-autoridades-da-republica-em-londres-nova-york-e-lisboa.shtml</x:v>
      </x:c>
    </x:row>
    <x:row r="89" ht="54" customHeight="1">
      <x:c r="A89" s="72" t="str">
        <x:v>Luís Roberto Barroso</x:v>
      </x:c>
      <x:c r="B89" s="72" t="str">
        <x:v>Judiciário</x:v>
      </x:c>
      <x:c r="C89" s="72" t="str">
        <x:v>Ministro do STF; ex-presidente da Corte</x:v>
      </x:c>
      <x:c r="D89" s="72" t="str">
        <x:v>D — indireto/potencial</x:v>
      </x:c>
      <x:c r="E89" s="72" t="str">
        <x:v>Evento patrocinado</x:v>
      </x:c>
      <x:c r="F89" s="72" t="str">
        <x:v>Participou como palestrante/convidado de evento patrocinado pelo Master.</x:v>
      </x:c>
      <x:c r="G89" s="72" t="str">
        <x:v>Patrocínio de evento não demonstra relação pessoal, favor ou irregularidade.</x:v>
      </x:c>
      <x:c r="H89" s="72" t="str">
        <x:v>Sem imputação individual indicada</x:v>
      </x:c>
      <x:c r="I89" s="77" t="n">
        <x:v>5</x:v>
      </x:c>
      <x:c r="J89" s="72" t="str">
        <x:v>Nacional/global</x:v>
      </x:c>
      <x:c r="K89" s="72" t="str">
        <x:v>Ministro do STF com forte projeção acadêmica e internacional.</x:v>
      </x:c>
      <x:c r="L89" s="79" t="str">
        <x:v>https://www1.folha.uol.com.br/mercado/2026/04/master-gastou-r-60-milhoes-com-autoridades-da-republica-em-londres-nova-york-e-lisboa.shtml</x:v>
      </x:c>
      <x:c r="M89" s="79" t="str"/>
    </x:row>
    <x:row r="90" ht="54" customHeight="1">
      <x:c r="A90" s="71" t="str">
        <x:v>Luiz Antonio Lombardi</x:v>
      </x:c>
      <x:c r="B90" s="71" t="str">
        <x:v>Negócios</x:v>
      </x:c>
      <x:c r="C90" s="71" t="str">
        <x:v>Executivo ligado à Epitome</x:v>
      </x:c>
      <x:c r="D90" s="71" t="str">
        <x:v>D — indireto/potencial</x:v>
      </x:c>
      <x:c r="E90" s="71" t="str">
        <x:v>Operação policial</x:v>
      </x:c>
      <x:c r="F90" s="71" t="str">
        <x:v>Alvo citado na 9ª fase em apuração sobre negócios e fluxos financeiros.</x:v>
      </x:c>
      <x:c r="G90" s="71" t="str">
        <x:v>Medida investigativa não equivale a condenação.</x:v>
      </x:c>
      <x:c r="H90" s="71" t="str">
        <x:v>Alvo/investigado; presunção de inocência</x:v>
      </x:c>
      <x:c r="I90" s="78" t="n">
        <x:v>2</x:v>
      </x:c>
      <x:c r="J90" s="71" t="str">
        <x:v>Setorial</x:v>
      </x:c>
      <x:c r="K90" s="71" t="str">
        <x:v>Possível elo empresarial de estruturas investigadas.</x:v>
      </x:c>
      <x:c r="L90" s="80" t="str">
        <x:v>https://www.cnnbrasil.com.br/politica/veja-quem-sao-os-oito-alvos-da-nova-fase-da-operacao-do-caso-master/</x:v>
      </x:c>
      <x:c r="M90" s="80" t="str">
        <x:v>https://noticias.stf.jus.br/postsnoticias/stf-autoriza-9a-fase-da-operacao-compliance-zero-em-sp-ba-e-df/</x:v>
      </x:c>
    </x:row>
    <x:row r="91" ht="54" customHeight="1">
      <x:c r="A91" s="72" t="str">
        <x:v>Luiz Estevão</x:v>
      </x:c>
      <x:c r="B91" s="72" t="str">
        <x:v>Mídia/Negócios</x:v>
      </x:c>
      <x:c r="C91" s="72" t="str">
        <x:v>Empresário e dono do Grupo Metrópoles</x:v>
      </x:c>
      <x:c r="D91" s="72" t="str">
        <x:v>A — direto confirmado</x:v>
      </x:c>
      <x:c r="E91" s="72" t="str">
        <x:v>Contrato publicitário</x:v>
      </x:c>
      <x:c r="F91" s="72" t="str">
        <x:v>Veículo recebeu valores relevantes do Master por publicidade.</x:v>
      </x:c>
      <x:c r="G91" s="72" t="str">
        <x:v>Estevão confirma contratos comerciais regulares e nega interferência editorial.</x:v>
      </x:c>
      <x:c r="H91" s="72" t="str">
        <x:v>Relação comercial admitida</x:v>
      </x:c>
      <x:c r="I91" s="77" t="n">
        <x:v>4</x:v>
      </x:c>
      <x:c r="J91" s="72" t="str">
        <x:v>Nacional</x:v>
      </x:c>
      <x:c r="K91" s="72" t="str">
        <x:v>Controla grupo de mídia de grande alcance e tem histórico de influência em Brasília.</x:v>
      </x:c>
      <x:c r="L91" s="79" t="str">
        <x:v>https://www.gazetadopovo.com.br/ideias/moraes-gonet-veja-lista-atualizada-quem-envolveu-vorcaro/</x:v>
      </x:c>
      <x:c r="M91" s="79" t="str"/>
    </x:row>
    <x:row r="92" ht="54" customHeight="1">
      <x:c r="A92" s="71" t="str">
        <x:v>Luiz Phillipi Machado de Moraes Mourão ('Sicário')</x:v>
      </x:c>
      <x:c r="B92" s="71" t="str">
        <x:v>Segurança/Operação</x:v>
      </x:c>
      <x:c r="C92" s="71" t="str">
        <x:v>Pessoa citada como operador/investigado</x:v>
      </x:c>
      <x:c r="D92" s="71" t="str">
        <x:v>B — direto documentado/controvertido</x:v>
      </x:c>
      <x:c r="E92" s="71" t="str">
        <x:v>Agenda e operação policial</x:v>
      </x:c>
      <x:c r="F92" s="71" t="str">
        <x:v>Contato consta da agenda e o nome aparece entre alvos/investigados da Compliance Zero.</x:v>
      </x:c>
      <x:c r="G92" s="71" t="str">
        <x:v>Apelido e investigação não equivalem a prova de participação criminosa.</x:v>
      </x:c>
      <x:c r="H92" s="71" t="str">
        <x:v>Alvo/investigado; presunção de inocência</x:v>
      </x:c>
      <x:c r="I92" s="78" t="n">
        <x:v>2</x:v>
      </x:c>
      <x:c r="J92" s="71" t="str">
        <x:v>Operacional</x:v>
      </x:c>
      <x:c r="K92" s="71" t="str">
        <x:v>Possível elo operacional com relevância probatória.</x:v>
      </x:c>
      <x:c r="L92" s="80" t="str">
        <x:v>https://www.poder360.com.br/poder-justica/agenda-de-vorcaro-tinha-toffoli-moraes-e-nunes-marques-leia-a-lista/</x:v>
      </x:c>
      <x:c r="M92" s="80" t="str">
        <x:v>https://noticias.stf.jus.br/postsnoticias/stf-atende-a-pedido-da-pf-e-determina-prisao-de-daniel-vorcaro-e-outros-investigados-por-supostas-fraudes-no-banco-master/</x:v>
      </x:c>
    </x:row>
    <x:row r="93" ht="54" customHeight="1">
      <x:c r="A93" s="72" t="str">
        <x:v>Luiz Rennó</x:v>
      </x:c>
      <x:c r="B93" s="72" t="str">
        <x:v>Eventos/Negócios</x:v>
      </x:c>
      <x:c r="C93" s="72" t="str">
        <x:v>Contato envolvido em organização de eventos</x:v>
      </x:c>
      <x:c r="D93" s="72" t="str">
        <x:v>B — direto documentado/controvertido</x:v>
      </x:c>
      <x:c r="E93" s="72" t="str">
        <x:v>Agenda e mensagens</x:v>
      </x:c>
      <x:c r="F93" s="72" t="str">
        <x:v>Consta da agenda e aparece em tratativas de evento ligado ao grupo.</x:v>
      </x:c>
      <x:c r="G93" s="72" t="str">
        <x:v>A organização de evento não prova irregularidade.</x:v>
      </x:c>
      <x:c r="H93" s="72" t="str">
        <x:v>Contato operacional documentado</x:v>
      </x:c>
      <x:c r="I93" s="77" t="n">
        <x:v>2</x:v>
      </x:c>
      <x:c r="J93" s="72" t="str">
        <x:v>Setorial</x:v>
      </x:c>
      <x:c r="K93" s="72" t="str">
        <x:v>Ponte logística para encontros de alto nível.</x:v>
      </x:c>
      <x:c r="L93" s="79" t="str">
        <x:v>https://www.poder360.com.br/poder-justica/agenda-de-vorcaro-tinha-toffoli-moraes-e-nunes-marques-leia-a-lista/</x:v>
      </x:c>
      <x:c r="M93" s="79" t="str">
        <x:v>https://static.poder360.com.br/uploads/2026/09/pet16662_relatorio_pf_celular_vorcaro_moraes_gonet_andrei_barci.pdf</x:v>
      </x:c>
    </x:row>
    <x:row r="94" ht="54" customHeight="1">
      <x:c r="A94" s="71" t="str">
        <x:v>Lula (Luiz Inácio Lula da Silva)</x:v>
      </x:c>
      <x:c r="B94" s="71" t="str">
        <x:v>Política</x:v>
      </x:c>
      <x:c r="C94" s="71" t="str">
        <x:v>Presidente da República</x:v>
      </x:c>
      <x:c r="D94" s="71" t="str">
        <x:v>A — direto confirmado</x:v>
      </x:c>
      <x:c r="E94" s="71" t="str">
        <x:v>Reunião</x:v>
      </x:c>
      <x:c r="F94" s="71" t="str">
        <x:v>Participou de reunião fora da agenda pública em dezembro de 2024 com Vorcaro e autoridades, articulada por Guido Mantega.</x:v>
      </x:c>
      <x:c r="G94" s="71" t="str">
        <x:v>O governo nega favorecimento; reunião presidencial não prova contrapartida ou interferência.</x:v>
      </x:c>
      <x:c r="H94" s="71" t="str">
        <x:v>Contato institucional confirmado; sem imputação individual concluída</x:v>
      </x:c>
      <x:c r="I94" s="78" t="n">
        <x:v>5</x:v>
      </x:c>
      <x:c r="J94" s="71" t="str">
        <x:v>Global</x:v>
      </x:c>
      <x:c r="K94" s="71" t="str">
        <x:v>Chefe de Estado e de governo do Brasil, com projeção mundial.</x:v>
      </x:c>
      <x:c r="L94" s="80" t="str">
        <x:v>https://www.gazetadopovo.com.br/ideias/moraes-gonet-veja-lista-atualizada-quem-envolveu-vorcaro/</x:v>
      </x:c>
      <x:c r="M94" s="80" t="str"/>
    </x:row>
    <x:row r="95" ht="54" customHeight="1">
      <x:c r="A95" s="72" t="str">
        <x:v>Marcellus Ferreira Pinto</x:v>
      </x:c>
      <x:c r="B95" s="72" t="str">
        <x:v>Negócios/Segurança</x:v>
      </x:c>
      <x:c r="C95" s="72" t="str">
        <x:v>CEO da VKS Tactical</x:v>
      </x:c>
      <x:c r="D95" s="72" t="str">
        <x:v>C — agenda apenas</x:v>
      </x:c>
      <x:c r="E95" s="72" t="str">
        <x:v>Contato salvo</x:v>
      </x:c>
      <x:c r="F95" s="72" t="str">
        <x:v>Nome aparece na agenda periciada.</x:v>
      </x:c>
      <x:c r="G95" s="72" t="str">
        <x:v>A fonte-base não demonstra negócio ou irregularidade.</x:v>
      </x:c>
      <x:c r="H95" s="72" t="str">
        <x:v>Sem imputação identificada na fonte-base</x:v>
      </x:c>
      <x:c r="I95" s="77" t="n">
        <x:v>3</x:v>
      </x:c>
      <x:c r="J95" s="72" t="str">
        <x:v>Nacional/setorial</x:v>
      </x:c>
      <x:c r="K95" s="72" t="str">
        <x:v>Executivo de empresa do segmento tático/segurança.</x:v>
      </x:c>
      <x:c r="L95" s="79" t="str">
        <x:v>https://www.poder360.com.br/poder-justica/agenda-de-vorcaro-tinha-toffoli-moraes-e-nunes-marques-leia-a-lista/</x:v>
      </x:c>
      <x:c r="M95" s="79" t="str"/>
    </x:row>
    <x:row r="96" ht="54" customHeight="1">
      <x:c r="A96" s="71" t="str">
        <x:v>Márcio Chaer ('Marcio Conjur')</x:v>
      </x:c>
      <x:c r="B96" s="71" t="str">
        <x:v>Mídia jurídica</x:v>
      </x:c>
      <x:c r="C96" s="71" t="str">
        <x:v>Fundador/diretor do Consultor Jurídico</x:v>
      </x:c>
      <x:c r="D96" s="71" t="str">
        <x:v>B — direto documentado/controvertido</x:v>
      </x:c>
      <x:c r="E96" s="71" t="str">
        <x:v>Agenda e organização de evento</x:v>
      </x:c>
      <x:c r="F96" s="71" t="str">
        <x:v>Contato aparece como 'Marcio Conjur'; reportagens o identificam como Márcio Chaer e descrevem atuação na coordenação de convites/logística.</x:v>
      </x:c>
      <x:c r="G96" s="71" t="str">
        <x:v>Chaer afirma que coordenação com patrocinadores é normal; organizar evento não prova irregularidade.</x:v>
      </x:c>
      <x:c r="H96" s="71" t="str">
        <x:v>Identidade atribuída pela imprensa; contato operacional</x:v>
      </x:c>
      <x:c r="I96" s="78" t="n">
        <x:v>4</x:v>
      </x:c>
      <x:c r="J96" s="71" t="str">
        <x:v>Nacional/setorial</x:v>
      </x:c>
      <x:c r="K96" s="71" t="str">
        <x:v>Dirige veículo de alta influência entre magistrados e advogados.</x:v>
      </x:c>
      <x:c r="L96" s="80" t="str">
        <x:v>https://www.poder360.com.br/poder-justica/agenda-de-vorcaro-tinha-toffoli-moraes-e-nunes-marques-leia-a-lista/</x:v>
      </x:c>
      <x:c r="M96" s="80" t="str">
        <x:v>https://www1.folha.uol.com.br/poder/2026/09/filho-de-gonet-pediu-a-vorcaro-para-ir-a-evento-em-londres-com-despesas-pagas-diz-pf.shtml</x:v>
      </x:c>
    </x:row>
    <x:row r="97" ht="54" customHeight="1">
      <x:c r="A97" s="72" t="str">
        <x:v>Marco Paulo</x:v>
      </x:c>
      <x:c r="B97" s="72" t="str">
        <x:v>Identidade incerta</x:v>
      </x:c>
      <x:c r="C97" s="72" t="str">
        <x:v>Contato duplicado; identidade não confirmada</x:v>
      </x:c>
      <x:c r="D97" s="72" t="str">
        <x:v>E — fraco/ambíguo</x:v>
      </x:c>
      <x:c r="E97" s="72" t="str">
        <x:v>Contato salvo em dois registros</x:v>
      </x:c>
      <x:c r="F97" s="72" t="str">
        <x:v>O mesmo rótulo aparece duas vezes na lista publicada.</x:v>
      </x:c>
      <x:c r="G97" s="72" t="str">
        <x:v>Não há base para afirmar se são números da mesma pessoa ou homônimos.</x:v>
      </x:c>
      <x:c r="H97" s="72" t="str">
        <x:v>Identidade não confirmada</x:v>
      </x:c>
      <x:c r="I97" s="77" t="n">
        <x:v>1</x:v>
      </x:c>
      <x:c r="J97" s="72" t="str">
        <x:v>Indeterminado</x:v>
      </x:c>
      <x:c r="K97" s="72" t="str">
        <x:v>Sem base para avaliar influência.</x:v>
      </x:c>
      <x:c r="L97" s="79" t="str">
        <x:v>https://www.poder360.com.br/poder-justica/agenda-de-vorcaro-tinha-toffoli-moraes-e-nunes-marques-leia-a-lista/</x:v>
      </x:c>
      <x:c r="M97" s="79" t="str"/>
    </x:row>
    <x:row r="98" ht="54" customHeight="1">
      <x:c r="A98" s="71" t="str">
        <x:v>Marcos Molina</x:v>
      </x:c>
      <x:c r="B98" s="71" t="str">
        <x:v>Negócios</x:v>
      </x:c>
      <x:c r="C98" s="71" t="str">
        <x:v>Empresário do setor de alimentos</x:v>
      </x:c>
      <x:c r="D98" s="71" t="str">
        <x:v>E — fraco/corrigido</x:v>
      </x:c>
      <x:c r="E98" s="71" t="str">
        <x:v>Pista de voo corrigida</x:v>
      </x:c>
      <x:c r="F98" s="71" t="str">
        <x:v>Foi identificado como o cotista que teria convidado Gilmar Mendes para voo inicialmente associado a Vorcaro.</x:v>
      </x:c>
      <x:c r="G98" s="71" t="str">
        <x:v>A correção indica justamente ausência de vínculo demonstrado entre aquele voo e Vorcaro.</x:v>
      </x:c>
      <x:c r="H98" s="71" t="str">
        <x:v>Pista corrigida; não tratado como contato</x:v>
      </x:c>
      <x:c r="I98" s="78" t="n">
        <x:v>4</x:v>
      </x:c>
      <x:c r="J98" s="71" t="str">
        <x:v>Global</x:v>
      </x:c>
      <x:c r="K98" s="71" t="str">
        <x:v>Empresário de grupo de alimentos com alcance internacional.</x:v>
      </x:c>
      <x:c r="L98" s="80" t="str">
        <x:v>https://www.gazetadopovo.com.br/ideias/moraes-gonet-veja-lista-atualizada-quem-envolveu-vorcaro/</x:v>
      </x:c>
      <x:c r="M98" s="80" t="str"/>
    </x:row>
    <x:row r="99" ht="54" customHeight="1">
      <x:c r="A99" s="72" t="str">
        <x:v>Marcus Vinicius da Mata ('Marcos Prime')</x:v>
      </x:c>
      <x:c r="B99" s="72" t="str">
        <x:v>Aviação/Negócios</x:v>
      </x:c>
      <x:c r="C99" s="72" t="str">
        <x:v>Cofundador da Prime You; sócio de Vorcaro</x:v>
      </x:c>
      <x:c r="D99" s="72" t="str">
        <x:v>A — direto confirmado</x:v>
      </x:c>
      <x:c r="E99" s="72" t="str">
        <x:v>Agenda, sociedade e oferta de aeronaves</x:v>
      </x:c>
      <x:c r="F99" s="72" t="str">
        <x:v>Contato 'Marcos Prime' foi ligado no relatório a Marcus Vinicius da Mata; enviou materiais e discutiu cotas de avião/helicóptero.</x:v>
      </x:c>
      <x:c r="G99" s="72" t="str">
        <x:v>O relatório descreve tratativas; o escritório Barci afirma que a segunda proposta não foi aceita/assinada.</x:v>
      </x:c>
      <x:c r="H99" s="72" t="str">
        <x:v>Sócio/operador citado em relatório</x:v>
      </x:c>
      <x:c r="I99" s="77" t="n">
        <x:v>3</x:v>
      </x:c>
      <x:c r="J99" s="72" t="str">
        <x:v>Nacional/internacional</x:v>
      </x:c>
      <x:c r="K99" s="72" t="str">
        <x:v>Controla serviço de aviação fracionada usado em tratativa sensível.</x:v>
      </x:c>
      <x:c r="L99" s="79" t="str">
        <x:v>https://www.poder360.com.br/poder-justica/agenda-de-vorcaro-tinha-toffoli-moraes-e-nunes-marques-leia-a-lista/</x:v>
      </x:c>
      <x:c r="M99" s="79" t="str">
        <x:v>https://static.poder360.com.br/uploads/2026/09/pet16662_relatorio_pf_celular_vorcaro_moraes_gonet_andrei_barci.pdf</x:v>
      </x:c>
    </x:row>
    <x:row r="100" ht="54" customHeight="1">
      <x:c r="A100" s="71" t="str">
        <x:v>Marilson Silva</x:v>
      </x:c>
      <x:c r="B100" s="71" t="str">
        <x:v>Finanças</x:v>
      </x:c>
      <x:c r="C100" s="71" t="str">
        <x:v>Pessoa citada na operação</x:v>
      </x:c>
      <x:c r="D100" s="71" t="str">
        <x:v>D — indireto/potencial</x:v>
      </x:c>
      <x:c r="E100" s="71" t="str">
        <x:v>Operação policial</x:v>
      </x:c>
      <x:c r="F100" s="71" t="str">
        <x:v>Nome aparece entre alvos/investigados do caso.</x:v>
      </x:c>
      <x:c r="G100" s="71" t="str">
        <x:v>Investigação não equivale a condenação.</x:v>
      </x:c>
      <x:c r="H100" s="71" t="str">
        <x:v>Alvo/investigado; presunção de inocência</x:v>
      </x:c>
      <x:c r="I100" s="78" t="n">
        <x:v>2</x:v>
      </x:c>
      <x:c r="J100" s="71" t="str">
        <x:v>Setorial</x:v>
      </x:c>
      <x:c r="K100" s="71" t="str">
        <x:v>Possível elo operacional em estruturas financeiras.</x:v>
      </x:c>
      <x:c r="L100" s="80" t="str">
        <x:v>https://noticias.stf.jus.br/postsnoticias/stf-atende-a-pedido-da-pf-e-determina-prisao-de-daniel-vorcaro-e-outros-investigados-por-supostas-fraudes-no-banco-master/</x:v>
      </x:c>
      <x:c r="M100" s="80" t="str"/>
    </x:row>
    <x:row r="101" ht="54" customHeight="1">
      <x:c r="A101" s="72" t="str">
        <x:v>Mario Frias</x:v>
      </x:c>
      <x:c r="B101" s="72" t="str">
        <x:v>Política/Cultura</x:v>
      </x:c>
      <x:c r="C101" s="72" t="str">
        <x:v>Deputado federal e ex-secretário de Cultura</x:v>
      </x:c>
      <x:c r="D101" s="72" t="str">
        <x:v>A — direto confirmado</x:v>
      </x:c>
      <x:c r="E101" s="72" t="str">
        <x:v>Mensagens e projeto Dark Horse</x:v>
      </x:c>
      <x:c r="F101" s="72" t="str">
        <x:v>Áudios/mensagens registram agradecimento e interlocução sobre o projeto Dark Horse.</x:v>
      </x:c>
      <x:c r="G101" s="72" t="str">
        <x:v>Frias afirma que o vínculo legal do projeto era com a Entre Investments, não com o banco; contato não prova ilícito.</x:v>
      </x:c>
      <x:c r="H101" s="72" t="str">
        <x:v>Contato documentado; alegações sob apuração</x:v>
      </x:c>
      <x:c r="I101" s="77" t="n">
        <x:v>4</x:v>
      </x:c>
      <x:c r="J101" s="72" t="str">
        <x:v>Nacional</x:v>
      </x:c>
      <x:c r="K101" s="72" t="str">
        <x:v>Parlamentar e figura pública com trânsito no bolsonarismo e setor cultural.</x:v>
      </x:c>
      <x:c r="L101" s="79" t="str">
        <x:v>https://www1.folha.uol.com.br/poder/2026/09/veja-quem-chamou-daniel-vorcaro-de-irmao-e-quem-foi-chamado-da-mesma-forma-pelo-ex-banqueiro.shtml</x:v>
      </x:c>
      <x:c r="M101" s="79" t="str">
        <x:v>https://www.gazetadopovo.com.br/ideias/moraes-gonet-veja-lista-atualizada-quem-envolveu-vorcaro/</x:v>
      </x:c>
    </x:row>
    <x:row r="102" ht="54" customHeight="1">
      <x:c r="A102" s="71" t="str">
        <x:v>Martha Graeff</x:v>
      </x:c>
      <x:c r="B102" s="71" t="str">
        <x:v>Moda/Entretenimento</x:v>
      </x:c>
      <x:c r="C102" s="71" t="str">
        <x:v>Influenciadora e empresária</x:v>
      </x:c>
      <x:c r="D102" s="71" t="str">
        <x:v>C — agenda apenas</x:v>
      </x:c>
      <x:c r="E102" s="71" t="str">
        <x:v>Contato salvo</x:v>
      </x:c>
      <x:c r="F102" s="71" t="str">
        <x:v>Nome aparece na agenda periciada.</x:v>
      </x:c>
      <x:c r="G102" s="71" t="str">
        <x:v>A fonte-base não demonstra interação relevante nem irregularidade.</x:v>
      </x:c>
      <x:c r="H102" s="71" t="str">
        <x:v>Sem imputação identificada na fonte-base</x:v>
      </x:c>
      <x:c r="I102" s="78" t="n">
        <x:v>2</x:v>
      </x:c>
      <x:c r="J102" s="71" t="str">
        <x:v>Nacional/internacional</x:v>
      </x:c>
      <x:c r="K102" s="71" t="str">
        <x:v>Alcance social e de luxo, com rede internacional.</x:v>
      </x:c>
      <x:c r="L102" s="80" t="str">
        <x:v>https://www.poder360.com.br/poder-justica/agenda-de-vorcaro-tinha-toffoli-moraes-e-nunes-marques-leia-a-lista/</x:v>
      </x:c>
      <x:c r="M102" s="80" t="str"/>
    </x:row>
    <x:row r="103" ht="54" customHeight="1">
      <x:c r="A103" s="72" t="str">
        <x:v>Maurício Quadrado</x:v>
      </x:c>
      <x:c r="B103" s="72" t="str">
        <x:v>Finanças</x:v>
      </x:c>
      <x:c r="C103" s="72" t="str">
        <x:v>Empresário; ex-sócio do Master e ligado à Trustee/Banvox</x:v>
      </x:c>
      <x:c r="D103" s="72" t="str">
        <x:v>A — direto confirmado</x:v>
      </x:c>
      <x:c r="E103" s="72" t="str">
        <x:v>Agenda e sociedade</x:v>
      </x:c>
      <x:c r="F103" s="72" t="str">
        <x:v>Consta da agenda e teve relação societária/empresarial direta com o ecossistema Master; empresas relacionadas foram objeto de medidas regulatórias.</x:v>
      </x:c>
      <x:c r="G103" s="72" t="str">
        <x:v>Relação societária e liquidação de empresas não provam crime individual.</x:v>
      </x:c>
      <x:c r="H103" s="72" t="str">
        <x:v>Relação empresarial documentada</x:v>
      </x:c>
      <x:c r="I103" s="77" t="n">
        <x:v>3</x:v>
      </x:c>
      <x:c r="J103" s="72" t="str">
        <x:v>Nacional/setorial</x:v>
      </x:c>
      <x:c r="K103" s="72" t="str">
        <x:v>Figura relevante para entender estruturas financeiras posteriores ao Master.</x:v>
      </x:c>
      <x:c r="L103" s="79" t="str">
        <x:v>https://www.poder360.com.br/poder-justica/agenda-de-vorcaro-tinha-toffoli-moraes-e-nunes-marques-leia-a-lista/</x:v>
      </x:c>
      <x:c r="M103" s="79" t="str">
        <x:v>https://www1.folha.uol.com.br/mercado/2026/09/quem-e-mauricio-quadrado-da-trustee-e-qual-a-relacao-do-empresario-com-o-master.shtml</x:v>
      </x:c>
    </x:row>
    <x:row r="104" ht="54" customHeight="1">
      <x:c r="A104" s="71" t="str">
        <x:v>Mauro Campbell Marques</x:v>
      </x:c>
      <x:c r="B104" s="71" t="str">
        <x:v>Judiciário</x:v>
      </x:c>
      <x:c r="C104" s="71" t="str">
        <x:v>Ministro do STJ</x:v>
      </x:c>
      <x:c r="D104" s="71" t="str">
        <x:v>D — indireto/potencial</x:v>
      </x:c>
      <x:c r="E104" s="71" t="str">
        <x:v>Evento patrocinado</x:v>
      </x:c>
      <x:c r="F104" s="71" t="str">
        <x:v>Listado entre participantes de eventos internacionais financiados pelo Master.</x:v>
      </x:c>
      <x:c r="G104" s="71" t="str">
        <x:v>Participação em evento não demonstra contato pessoal, favor ou irregularidade.</x:v>
      </x:c>
      <x:c r="H104" s="71" t="str">
        <x:v>Sem imputação individual indicada</x:v>
      </x:c>
      <x:c r="I104" s="78" t="n">
        <x:v>4</x:v>
      </x:c>
      <x:c r="J104" s="71" t="str">
        <x:v>Nacional</x:v>
      </x:c>
      <x:c r="K104" s="71" t="str">
        <x:v>Ministro de tribunal superior e liderança institucional.</x:v>
      </x:c>
      <x:c r="L104" s="80" t="str">
        <x:v>https://www1.folha.uol.com.br/mercado/2026/04/master-gastou-r-60-milhoes-com-autoridades-da-republica-em-londres-nova-york-e-lisboa.shtml</x:v>
      </x:c>
      <x:c r="M104" s="80" t="str"/>
    </x:row>
    <x:row r="105" ht="54" customHeight="1">
      <x:c r="A105" s="72" t="str">
        <x:v>Maxwell Borges de Moura Vieira</x:v>
      </x:c>
      <x:c r="B105" s="72" t="str">
        <x:v>Controle público</x:v>
      </x:c>
      <x:c r="C105" s="72" t="str">
        <x:v>Conselheiro do TCE-SP</x:v>
      </x:c>
      <x:c r="D105" s="72" t="str">
        <x:v>C — agenda apenas</x:v>
      </x:c>
      <x:c r="E105" s="72" t="str">
        <x:v>Contato salvo</x:v>
      </x:c>
      <x:c r="F105" s="72" t="str">
        <x:v>Nome aparece na agenda periciada.</x:v>
      </x:c>
      <x:c r="G105" s="72" t="str">
        <x:v>A fonte-base não demonstra conversa ou irregularidade.</x:v>
      </x:c>
      <x:c r="H105" s="72" t="str">
        <x:v>Sem imputação identificada na fonte-base</x:v>
      </x:c>
      <x:c r="I105" s="77" t="n">
        <x:v>3</x:v>
      </x:c>
      <x:c r="J105" s="72" t="str">
        <x:v>Regional/nacional</x:v>
      </x:c>
      <x:c r="K105" s="72" t="str">
        <x:v>Fiscaliza contas públicas no maior estado do país.</x:v>
      </x:c>
      <x:c r="L105" s="79" t="str">
        <x:v>https://www.poder360.com.br/poder-justica/agenda-de-vorcaro-tinha-toffoli-moraes-e-nunes-marques-leia-a-lista/</x:v>
      </x:c>
      <x:c r="M105" s="79" t="str"/>
    </x:row>
    <x:row r="106" ht="54" customHeight="1">
      <x:c r="A106" s="71" t="str">
        <x:v>Michel Temer</x:v>
      </x:c>
      <x:c r="B106" s="71" t="str">
        <x:v>Política/Advocacia</x:v>
      </x:c>
      <x:c r="C106" s="71" t="str">
        <x:v>Ex-presidente da República e advogado</x:v>
      </x:c>
      <x:c r="D106" s="71" t="str">
        <x:v>A — direto confirmado</x:v>
      </x:c>
      <x:c r="E106" s="71" t="str">
        <x:v>Contrato de advocacia</x:v>
      </x:c>
      <x:c r="F106" s="71" t="str">
        <x:v>Foi contratado em 2025 para atuação jurídica após veto do BC; valores de honorários foram declarados/noticiados.</x:v>
      </x:c>
      <x:c r="G106" s="71" t="str">
        <x:v>Temer afirma que se tratou de serviço jurídico regular e contesta parte do valor divulgado.</x:v>
      </x:c>
      <x:c r="H106" s="71" t="str">
        <x:v>Relação profissional admitida</x:v>
      </x:c>
      <x:c r="I106" s="78" t="n">
        <x:v>5</x:v>
      </x:c>
      <x:c r="J106" s="71" t="str">
        <x:v>Nacional/internacional</x:v>
      </x:c>
      <x:c r="K106" s="71" t="str">
        <x:v>Ex-chefe de Estado com grande trânsito jurídico, empresarial e político.</x:v>
      </x:c>
      <x:c r="L106" s="80" t="str">
        <x:v>https://www.gazetadopovo.com.br/ideias/moraes-gonet-veja-lista-atualizada-quem-envolveu-vorcaro/</x:v>
      </x:c>
      <x:c r="M106" s="80" t="str"/>
    </x:row>
    <x:row r="107" ht="54" customHeight="1">
      <x:c r="A107" s="72" t="str">
        <x:v>Mila Rueda</x:v>
      </x:c>
      <x:c r="B107" s="72" t="str">
        <x:v>Política partidária</x:v>
      </x:c>
      <x:c r="C107" s="72" t="str">
        <x:v>Tesoureira do União Brasil</x:v>
      </x:c>
      <x:c r="D107" s="72" t="str">
        <x:v>C — agenda apenas</x:v>
      </x:c>
      <x:c r="E107" s="72" t="str">
        <x:v>Contato salvo</x:v>
      </x:c>
      <x:c r="F107" s="72" t="str">
        <x:v>Nome aparece na agenda periciada.</x:v>
      </x:c>
      <x:c r="G107" s="72" t="str">
        <x:v>A fonte-base não demonstra conversa ou irregularidade.</x:v>
      </x:c>
      <x:c r="H107" s="72" t="str">
        <x:v>Sem imputação identificada na fonte-base</x:v>
      </x:c>
      <x:c r="I107" s="77" t="n">
        <x:v>3</x:v>
      </x:c>
      <x:c r="J107" s="72" t="str">
        <x:v>Nacional</x:v>
      </x:c>
      <x:c r="K107" s="72" t="str">
        <x:v>Controla função financeira estratégica em partido nacional.</x:v>
      </x:c>
      <x:c r="L107" s="79" t="str">
        <x:v>https://www.poder360.com.br/poder-justica/agenda-de-vorcaro-tinha-toffoli-moraes-e-nunes-marques-leia-a-lista/</x:v>
      </x:c>
      <x:c r="M107" s="79" t="str"/>
    </x:row>
    <x:row r="108" ht="54" customHeight="1">
      <x:c r="A108" s="71" t="str">
        <x:v>My Future Wife</x:v>
      </x:c>
      <x:c r="B108" s="71" t="str">
        <x:v>Identidade incerta</x:v>
      </x:c>
      <x:c r="C108" s="71" t="str">
        <x:v>Contato/alcunha; identidade não confirmada</x:v>
      </x:c>
      <x:c r="D108" s="71" t="str">
        <x:v>E — fraco/ambíguo</x:v>
      </x:c>
      <x:c r="E108" s="71" t="str">
        <x:v>Contato salvo</x:v>
      </x:c>
      <x:c r="F108" s="71" t="str">
        <x:v>Rótulo aparece no material periciado.</x:v>
      </x:c>
      <x:c r="G108" s="71" t="str">
        <x:v>Não é possível identificar a pessoa ou inferir relação real pelo apelido.</x:v>
      </x:c>
      <x:c r="H108" s="71" t="str">
        <x:v>Identidade não confirmada</x:v>
      </x:c>
      <x:c r="I108" s="78" t="n">
        <x:v>1</x:v>
      </x:c>
      <x:c r="J108" s="71" t="str">
        <x:v>Indeterminado</x:v>
      </x:c>
      <x:c r="K108" s="71" t="str">
        <x:v>Sem base para avaliar influência.</x:v>
      </x:c>
      <x:c r="L108" s="80" t="str">
        <x:v>https://www.poder360.com.br/poder-justica/agenda-de-vorcaro-tinha-toffoli-moraes-e-nunes-marques-leia-a-lista/</x:v>
      </x:c>
      <x:c r="M108" s="80" t="str"/>
    </x:row>
    <x:row r="109" ht="54" customHeight="1">
      <x:c r="A109" s="72" t="str">
        <x:v>Nelson Tanure</x:v>
      </x:c>
      <x:c r="B109" s="72" t="str">
        <x:v>Negócios</x:v>
      </x:c>
      <x:c r="C109" s="72" t="str">
        <x:v>Investidor e empresário</x:v>
      </x:c>
      <x:c r="D109" s="72" t="str">
        <x:v>B — direto documentado/controvertido</x:v>
      </x:c>
      <x:c r="E109" s="72" t="str">
        <x:v>Agenda e operação policial</x:v>
      </x:c>
      <x:c r="F109" s="72" t="str">
        <x:v>Nome consta da agenda e aparece entre alvos/investigados ligados a operações com o ecossistema Master/Reag.</x:v>
      </x:c>
      <x:c r="G109" s="72" t="str">
        <x:v>Tanure/defesa contestam irregularidades; investigação não equivale a condenação.</x:v>
      </x:c>
      <x:c r="H109" s="72" t="str">
        <x:v>Alvo/investigado; presunção de inocência</x:v>
      </x:c>
      <x:c r="I109" s="77" t="n">
        <x:v>5</x:v>
      </x:c>
      <x:c r="J109" s="72" t="str">
        <x:v>Nacional/internacional</x:v>
      </x:c>
      <x:c r="K109" s="72" t="str">
        <x:v>Investidor com participações relevantes em energia, infraestrutura, finanças e mídia.</x:v>
      </x:c>
      <x:c r="L109" s="79" t="str">
        <x:v>https://www.poder360.com.br/poder-justica/agenda-de-vorcaro-tinha-toffoli-moraes-e-nunes-marques-leia-a-lista/</x:v>
      </x:c>
      <x:c r="M109" s="79" t="str">
        <x:v>https://noticias.stf.jus.br/postsnoticias/stf-atende-a-pedido-da-pf-e-determina-prisao-de-daniel-vorcaro-e-outros-investigados-por-supostas-fraudes-no-banco-master/</x:v>
      </x:c>
    </x:row>
    <x:row r="110" ht="54" customHeight="1">
      <x:c r="A110" s="71" t="str">
        <x:v>Nikolas Ferreira</x:v>
      </x:c>
      <x:c r="B110" s="71" t="str">
        <x:v>Política</x:v>
      </x:c>
      <x:c r="C110" s="71" t="str">
        <x:v>Deputado federal</x:v>
      </x:c>
      <x:c r="D110" s="71" t="str">
        <x:v>A — direto confirmado</x:v>
      </x:c>
      <x:c r="E110" s="71" t="str">
        <x:v>Mensagens, reunião e voos</x:v>
      </x:c>
      <x:c r="F110" s="71" t="str">
        <x:v>Admitiu dois contatos; mensagens tratam de pedido de ajuda para ativo mineral de ex-assessor e de logística de voos, que Vorcaro diz ter pago.</x:v>
      </x:c>
      <x:c r="G110" s="71" t="str">
        <x:v>Nikolas nega receber dinheiro, conhecer os pagamentos de voo ou praticar irregularidade.</x:v>
      </x:c>
      <x:c r="H110" s="71" t="str">
        <x:v>Contato admitido; alegações sob apuração</x:v>
      </x:c>
      <x:c r="I110" s="78" t="n">
        <x:v>4</x:v>
      </x:c>
      <x:c r="J110" s="71" t="str">
        <x:v>Nacional/internacional</x:v>
      </x:c>
      <x:c r="K110" s="71" t="str">
        <x:v>Um dos políticos brasileiros de maior alcance digital.</x:v>
      </x:c>
      <x:c r="L110" s="80" t="str">
        <x:v>https://noticias.uol.com.br/politica/ultimas-noticias/2026/09/03/nikolas-ferreira-daniel-vorcaro-resposta.ghtm</x:v>
      </x:c>
      <x:c r="M110" s="80" t="str">
        <x:v>https://noticias.uol.com.br/politica/ultimas-noticias/2026/09/03/vorcaro-nikolas-ferreira-mensagens-voos.ghtm</x:v>
      </x:c>
    </x:row>
    <x:row r="111" ht="54" customHeight="1">
      <x:c r="A111" s="72" t="str">
        <x:v>Nunes Marques</x:v>
      </x:c>
      <x:c r="B111" s="72" t="str">
        <x:v>Judiciário</x:v>
      </x:c>
      <x:c r="C111" s="72" t="str">
        <x:v>Ministro do STF</x:v>
      </x:c>
      <x:c r="D111" s="72" t="str">
        <x:v>C — agenda apenas</x:v>
      </x:c>
      <x:c r="E111" s="72" t="str">
        <x:v>Contato salvo</x:v>
      </x:c>
      <x:c r="F111" s="72" t="str">
        <x:v>Nome aparece na agenda periciada; reportagem também cita fluxos a consultoria ligada ao filho.</x:v>
      </x:c>
      <x:c r="G111" s="72" t="str">
        <x:v>Contato salvo e pagamentos a empresa de familiar não provam interferência do ministro.</x:v>
      </x:c>
      <x:c r="H111" s="72" t="str">
        <x:v>Citado; sem conclusão de culpa</x:v>
      </x:c>
      <x:c r="I111" s="77" t="n">
        <x:v>5</x:v>
      </x:c>
      <x:c r="J111" s="72" t="str">
        <x:v>Nacional/global</x:v>
      </x:c>
      <x:c r="K111" s="72" t="str">
        <x:v>Ministro da corte constitucional.</x:v>
      </x:c>
      <x:c r="L111" s="79" t="str">
        <x:v>https://www.poder360.com.br/poder-justica/agenda-de-vorcaro-tinha-toffoli-moraes-e-nunes-marques-leia-a-lista/</x:v>
      </x:c>
      <x:c r="M111" s="79" t="str">
        <x:v>https://www.gazetadopovo.com.br/ideias/moraes-gonet-veja-lista-atualizada-quem-envolveu-vorcaro/</x:v>
      </x:c>
    </x:row>
    <x:row r="112" ht="54" customHeight="1">
      <x:c r="A112" s="71" t="str">
        <x:v>Ortiz Segurança</x:v>
      </x:c>
      <x:c r="B112" s="71" t="str">
        <x:v>Identidade incerta</x:v>
      </x:c>
      <x:c r="C112" s="71" t="str">
        <x:v>Contato empresarial/alcunha; identidade não confirmada</x:v>
      </x:c>
      <x:c r="D112" s="71" t="str">
        <x:v>E — fraco/ambíguo</x:v>
      </x:c>
      <x:c r="E112" s="71" t="str">
        <x:v>Contato salvo</x:v>
      </x:c>
      <x:c r="F112" s="71" t="str">
        <x:v>Rótulo consta da agenda periciada.</x:v>
      </x:c>
      <x:c r="G112" s="71" t="str">
        <x:v>Não há identificação pública segura da pessoa ou empresa.</x:v>
      </x:c>
      <x:c r="H112" s="71" t="str">
        <x:v>Identidade não confirmada</x:v>
      </x:c>
      <x:c r="I112" s="78" t="n">
        <x:v>1</x:v>
      </x:c>
      <x:c r="J112" s="71" t="str">
        <x:v>Indeterminado</x:v>
      </x:c>
      <x:c r="K112" s="71" t="str">
        <x:v>Sem base para avaliar influência.</x:v>
      </x:c>
      <x:c r="L112" s="80" t="str">
        <x:v>https://www.poder360.com.br/poder-justica/agenda-de-vorcaro-tinha-toffoli-moraes-e-nunes-marques-leia-a-lista/</x:v>
      </x:c>
      <x:c r="M112" s="80" t="str"/>
    </x:row>
    <x:row r="113" ht="54" customHeight="1">
      <x:c r="A113" s="72" t="str">
        <x:v>Pablo Almeida</x:v>
      </x:c>
      <x:c r="B113" s="72" t="str">
        <x:v>Política/Assessoria</x:v>
      </x:c>
      <x:c r="C113" s="72" t="str">
        <x:v>Apontado como assessor ligado a Nikolas Ferreira</x:v>
      </x:c>
      <x:c r="D113" s="72" t="str">
        <x:v>C — agenda apenas</x:v>
      </x:c>
      <x:c r="E113" s="72" t="str">
        <x:v>Contato salvo</x:v>
      </x:c>
      <x:c r="F113" s="72" t="str">
        <x:v>Nome aparece na agenda periciada com descrição de assessor.</x:v>
      </x:c>
      <x:c r="G113" s="72" t="str">
        <x:v>A fonte-base não comprova interação específica ou irregularidade.</x:v>
      </x:c>
      <x:c r="H113" s="72" t="str">
        <x:v>Sem imputação identificada na fonte-base</x:v>
      </x:c>
      <x:c r="I113" s="77" t="n">
        <x:v>2</x:v>
      </x:c>
      <x:c r="J113" s="72" t="str">
        <x:v>Nacional/setorial</x:v>
      </x:c>
      <x:c r="K113" s="72" t="str">
        <x:v>Possível ponte operacional com parlamentar de enorme alcance digital.</x:v>
      </x:c>
      <x:c r="L113" s="79" t="str">
        <x:v>https://www.poder360.com.br/poder-justica/agenda-de-vorcaro-tinha-toffoli-moraes-e-nunes-marques-leia-a-lista/</x:v>
      </x:c>
      <x:c r="M113" s="79" t="str"/>
    </x:row>
    <x:row r="114" ht="54" customHeight="1">
      <x:c r="A114" s="71" t="str">
        <x:v>Patrícia Campos de Castro Véras</x:v>
      </x:c>
      <x:c r="B114" s="71" t="str">
        <x:v>Advocacia</x:v>
      </x:c>
      <x:c r="C114" s="71" t="str">
        <x:v>Advogada; fundadora de escritório</x:v>
      </x:c>
      <x:c r="D114" s="71" t="str">
        <x:v>C — agenda apenas</x:v>
      </x:c>
      <x:c r="E114" s="71" t="str">
        <x:v>Contato salvo</x:v>
      </x:c>
      <x:c r="F114" s="71" t="str">
        <x:v>Nome aparece na agenda periciada.</x:v>
      </x:c>
      <x:c r="G114" s="71" t="str">
        <x:v>A fonte-base não demonstra contratação ou irregularidade.</x:v>
      </x:c>
      <x:c r="H114" s="71" t="str">
        <x:v>Sem imputação identificada na fonte-base</x:v>
      </x:c>
      <x:c r="I114" s="78" t="n">
        <x:v>3</x:v>
      </x:c>
      <x:c r="J114" s="71" t="str">
        <x:v>Nacional/setorial</x:v>
      </x:c>
      <x:c r="K114" s="71" t="str">
        <x:v>Atuação jurídica empresarial e acesso a decisões de alto valor.</x:v>
      </x:c>
      <x:c r="L114" s="80" t="str">
        <x:v>https://www.poder360.com.br/poder-justica/agenda-de-vorcaro-tinha-toffoli-moraes-e-nunes-marques-leia-a-lista/</x:v>
      </x:c>
      <x:c r="M114" s="80" t="str"/>
    </x:row>
    <x:row r="115" ht="54" customHeight="1">
      <x:c r="A115" s="72" t="str">
        <x:v>Paulo Calixto</x:v>
      </x:c>
      <x:c r="B115" s="72" t="str">
        <x:v>Finanças</x:v>
      </x:c>
      <x:c r="C115" s="72" t="str">
        <x:v>Gestor ligado a fundo no exterior</x:v>
      </x:c>
      <x:c r="D115" s="72" t="str">
        <x:v>D — indireto/potencial</x:v>
      </x:c>
      <x:c r="E115" s="72" t="str">
        <x:v>Estrutura financeira do Dark Horse</x:v>
      </x:c>
      <x:c r="F115" s="72" t="str">
        <x:v>É citado como gestor do fundo Havengate, que recebeu recursos ligados à Entre Investments/projeto Dark Horse.</x:v>
      </x:c>
      <x:c r="G115" s="72" t="str">
        <x:v>Fluxo e suspeita de beneficiários dependem de corroboração; não há prova pública de contato pessoal com Vorcaro.</x:v>
      </x:c>
      <x:c r="H115" s="72" t="str">
        <x:v>Citado em investigação/colaboração</x:v>
      </x:c>
      <x:c r="I115" s="77" t="n">
        <x:v>3</x:v>
      </x:c>
      <x:c r="J115" s="72" t="str">
        <x:v>Internacional/setorial</x:v>
      </x:c>
      <x:c r="K115" s="72" t="str">
        <x:v>Possível elo de recursos internacionais e estruturas offshore.</x:v>
      </x:c>
      <x:c r="L115" s="79" t="str">
        <x:v>https://www1.folha.uol.com.br/poder/2026/09/pgr-fecha-delacao-com-empresario-que-fez-pagamentos-a-fundo-que-financiaria-dark-horse.shtml</x:v>
      </x:c>
      <x:c r="M115" s="79" t="str"/>
    </x:row>
    <x:row r="116" ht="54" customHeight="1">
      <x:c r="A116" s="71" t="str">
        <x:v>Paulo Gonet</x:v>
      </x:c>
      <x:c r="B116" s="71" t="str">
        <x:v>Ministério Público</x:v>
      </x:c>
      <x:c r="C116" s="71" t="str">
        <x:v>Procurador-geral da República</x:v>
      </x:c>
      <x:c r="D116" s="71" t="str">
        <x:v>B — direto documentado/controvertido</x:v>
      </x:c>
      <x:c r="E116" s="71" t="str">
        <x:v>Menções/intermediação e convite</x:v>
      </x:c>
      <x:c r="F116" s="71" t="str">
        <x:v>Mensagens de Ciro Rocha Soares dizem intermediar contatos/pedidos; houve convite envolvendo evento e o filho Pedro.</x:v>
      </x:c>
      <x:c r="G116" s="71" t="str">
        <x:v>Gonet nega relação pessoal, profissional, contratual ou financeira com Vorcaro e nega pedir custeio de viagem; não há evidência publicada de que tenha atendido pedidos.</x:v>
      </x:c>
      <x:c r="H116" s="71" t="str">
        <x:v>Menções sob análise; relação negada</x:v>
      </x:c>
      <x:c r="I116" s="78" t="n">
        <x:v>5</x:v>
      </x:c>
      <x:c r="J116" s="71" t="str">
        <x:v>Nacional/internacional</x:v>
      </x:c>
      <x:c r="K116" s="71" t="str">
        <x:v>Chefia o Ministério Público Federal e atua em processos perante o STF.</x:v>
      </x:c>
      <x:c r="L116" s="80" t="str">
        <x:v>https://static.poder360.com.br/uploads/2026/09/pet16662_relatorio_pf_celular_vorcaro_moraes_gonet_andrei_barci.pdf</x:v>
      </x:c>
      <x:c r="M116" s="80" t="str">
        <x:v>https://www1.folha.uol.com.br/colunas/monicabergamo/2026/09/gonet-dira-a-conselho-da-pgr-que-nunca-manteve-relacao-com-vorcaro.shtml</x:v>
      </x:c>
    </x:row>
    <x:row r="117" ht="54" customHeight="1">
      <x:c r="A117" s="72" t="str">
        <x:v>Paulo Henrique Costa</x:v>
      </x:c>
      <x:c r="B117" s="72" t="str">
        <x:v>Banco público</x:v>
      </x:c>
      <x:c r="C117" s="72" t="str">
        <x:v>Ex-presidente do BRB</x:v>
      </x:c>
      <x:c r="D117" s="72" t="str">
        <x:v>B — direto documentado/controvertido</x:v>
      </x:c>
      <x:c r="E117" s="72" t="str">
        <x:v>Negociação BRB–Master e operação policial</x:v>
      </x:c>
      <x:c r="F117" s="72" t="str">
        <x:v>Figura central na tentativa de aquisição do Master pelo BRB e em investigações sobre carteiras de crédito.</x:v>
      </x:c>
      <x:c r="G117" s="72" t="str">
        <x:v>Defesa contesta acusações; medidas investigativas não equivalem a condenação.</x:v>
      </x:c>
      <x:c r="H117" s="72" t="str">
        <x:v>Alvo/investigado; presunção de inocência</x:v>
      </x:c>
      <x:c r="I117" s="77" t="n">
        <x:v>4</x:v>
      </x:c>
      <x:c r="J117" s="72" t="str">
        <x:v>Nacional</x:v>
      </x:c>
      <x:c r="K117" s="72" t="str">
        <x:v>Ex-chefe do banco controlado pelo DF e principal contraparte institucional do negócio.</x:v>
      </x:c>
      <x:c r="L117" s="79" t="str">
        <x:v>https://noticias.stf.jus.br/postsnoticias/stf-atende-a-pedido-da-pf-e-determina-prisao-de-daniel-vorcaro-e-outros-investigados-por-supostas-fraudes-no-banco-master/</x:v>
      </x:c>
      <x:c r="M117" s="79" t="str"/>
    </x:row>
    <x:row r="118" ht="54" customHeight="1">
      <x:c r="A118" s="71" t="str">
        <x:v>Paulo Roberto CIRO</x:v>
      </x:c>
      <x:c r="B118" s="71" t="str">
        <x:v>Identidade incerta</x:v>
      </x:c>
      <x:c r="C118" s="71" t="str">
        <x:v>Contato/alcunha; identidade não confirmada</x:v>
      </x:c>
      <x:c r="D118" s="71" t="str">
        <x:v>E — fraco/ambíguo</x:v>
      </x:c>
      <x:c r="E118" s="71" t="str">
        <x:v>Contato salvo</x:v>
      </x:c>
      <x:c r="F118" s="71" t="str">
        <x:v>Rótulo consta da agenda periciada.</x:v>
      </x:c>
      <x:c r="G118" s="71" t="str">
        <x:v>Não é seguro inferir qual 'Ciro' ou identidade civil.</x:v>
      </x:c>
      <x:c r="H118" s="71" t="str">
        <x:v>Identidade não confirmada</x:v>
      </x:c>
      <x:c r="I118" s="78" t="n">
        <x:v>1</x:v>
      </x:c>
      <x:c r="J118" s="71" t="str">
        <x:v>Indeterminado</x:v>
      </x:c>
      <x:c r="K118" s="71" t="str">
        <x:v>Sem base para avaliar influência.</x:v>
      </x:c>
      <x:c r="L118" s="80" t="str">
        <x:v>https://www.poder360.com.br/poder-justica/agenda-de-vorcaro-tinha-toffoli-moraes-e-nunes-marques-leia-a-lista/</x:v>
      </x:c>
      <x:c r="M118" s="80" t="str"/>
    </x:row>
    <x:row r="119" ht="54" customHeight="1">
      <x:c r="A119" s="72" t="str">
        <x:v>Paulo Sérgio Neves de Souza</x:v>
      </x:c>
      <x:c r="B119" s="72" t="str">
        <x:v>Banco Central</x:v>
      </x:c>
      <x:c r="C119" s="72" t="str">
        <x:v>Ex-diretor de Fiscalização do BC</x:v>
      </x:c>
      <x:c r="D119" s="72" t="str">
        <x:v>B — direto documentado/controvertido</x:v>
      </x:c>
      <x:c r="E119" s="72" t="str">
        <x:v>Agenda e operação policial</x:v>
      </x:c>
      <x:c r="F119" s="72" t="str">
        <x:v>Consta da agenda e foi citado entre alvos/investigados por suspeitas relacionadas à supervisão e ao caso Master.</x:v>
      </x:c>
      <x:c r="G119" s="72" t="str">
        <x:v>Investigação não equivale a culpa; defesa deve ser considerada nos autos.</x:v>
      </x:c>
      <x:c r="H119" s="72" t="str">
        <x:v>Alvo/investigado; presunção de inocência</x:v>
      </x:c>
      <x:c r="I119" s="77" t="n">
        <x:v>4</x:v>
      </x:c>
      <x:c r="J119" s="72" t="str">
        <x:v>Nacional</x:v>
      </x:c>
      <x:c r="K119" s="72" t="str">
        <x:v>Exerceu poder direto sobre fiscalização bancária.</x:v>
      </x:c>
      <x:c r="L119" s="79" t="str">
        <x:v>https://www.poder360.com.br/poder-justica/agenda-de-vorcaro-tinha-toffoli-moraes-e-nunes-marques-leia-a-lista/</x:v>
      </x:c>
      <x:c r="M119" s="79" t="str">
        <x:v>https://noticias.stf.jus.br/postsnoticias/stf-atende-a-pedido-da-pf-e-determina-prisao-de-daniel-vorcaro-e-outros-investigados-por-supostas-fraudes-no-banco-master/</x:v>
      </x:c>
    </x:row>
    <x:row r="120" ht="54" customHeight="1">
      <x:c r="A120" s="71" t="str">
        <x:v>Pedro Gonet</x:v>
      </x:c>
      <x:c r="B120" s="71" t="str">
        <x:v>Família/Advocacia</x:v>
      </x:c>
      <x:c r="C120" s="71" t="str">
        <x:v>Advogado; filho de Paulo Gonet</x:v>
      </x:c>
      <x:c r="D120" s="71" t="str">
        <x:v>B — direto documentado/controvertido</x:v>
      </x:c>
      <x:c r="E120" s="71" t="str">
        <x:v>Pedido/convite de viagem</x:v>
      </x:c>
      <x:c r="F120" s="71" t="str">
        <x:v>Mensagens indicam interesse em participar de evento em Londres com despesas pagas; Vorcaro teria aprovado a logística.</x:v>
      </x:c>
      <x:c r="G120" s="71" t="str">
        <x:v>Paulo Gonet nega ter solicitado custeio; o evento citado foi cancelado, e intenção/logística não provam benefício consumado.</x:v>
      </x:c>
      <x:c r="H120" s="71" t="str">
        <x:v>Citado em relatório; fatos controvertidos</x:v>
      </x:c>
      <x:c r="I120" s="78" t="n">
        <x:v>2</x:v>
      </x:c>
      <x:c r="J120" s="71" t="str">
        <x:v>Nacional/setorial</x:v>
      </x:c>
      <x:c r="K120" s="71" t="str">
        <x:v>Ligação familiar com o PGR torna o episódio institucionalmente sensível.</x:v>
      </x:c>
      <x:c r="L120" s="80" t="str">
        <x:v>https://www1.folha.uol.com.br/poder/2026/09/filho-de-gonet-pediu-a-vorcaro-para-ir-a-evento-em-londres-com-despesas-pagas-diz-pf.shtml</x:v>
      </x:c>
      <x:c r="M120" s="80" t="str">
        <x:v>https://www1.folha.uol.com.br/colunas/monicabergamo/2026/09/gonet-dira-a-conselho-da-pgr-que-nunca-manteve-relacao-com-vorcaro.shtml</x:v>
      </x:c>
    </x:row>
    <x:row r="121" ht="54" customHeight="1">
      <x:c r="A121" s="72" t="str">
        <x:v>Raimundo Neto e Silva Nogueira Lima</x:v>
      </x:c>
      <x:c r="B121" s="72" t="str">
        <x:v>Negócios</x:v>
      </x:c>
      <x:c r="C121" s="72" t="str">
        <x:v>Pessoa ligada a estruturas investigadas</x:v>
      </x:c>
      <x:c r="D121" s="72" t="str">
        <x:v>D — indireto/potencial</x:v>
      </x:c>
      <x:c r="E121" s="72" t="str">
        <x:v>Operação policial</x:v>
      </x:c>
      <x:c r="F121" s="72" t="str">
        <x:v>Citado entre alvos/investigados da Compliance Zero.</x:v>
      </x:c>
      <x:c r="G121" s="72" t="str">
        <x:v>Investigação não equivale a condenação.</x:v>
      </x:c>
      <x:c r="H121" s="72" t="str">
        <x:v>Alvo/investigado; presunção de inocência</x:v>
      </x:c>
      <x:c r="I121" s="77" t="n">
        <x:v>2</x:v>
      </x:c>
      <x:c r="J121" s="72" t="str">
        <x:v>Setorial</x:v>
      </x:c>
      <x:c r="K121" s="72" t="str">
        <x:v>Possível elo operacional/patrimonial.</x:v>
      </x:c>
      <x:c r="L121" s="79" t="str">
        <x:v>https://noticias.stf.jus.br/postsnoticias/stf-atende-a-pedido-da-pf-e-determina-prisao-de-daniel-vorcaro-e-outros-investigados-por-supostas-fraudes-no-banco-master/</x:v>
      </x:c>
      <x:c r="M121" s="79" t="str"/>
    </x:row>
    <x:row r="122" ht="54" customHeight="1">
      <x:c r="A122" s="71" t="str">
        <x:v>Ratinho (Carlos Massa)</x:v>
      </x:c>
      <x:c r="B122" s="71" t="str">
        <x:v>Mídia/Entretenimento</x:v>
      </x:c>
      <x:c r="C122" s="71" t="str">
        <x:v>Apresentador e empresário</x:v>
      </x:c>
      <x:c r="D122" s="71" t="str">
        <x:v>D — indireto/potencial</x:v>
      </x:c>
      <x:c r="E122" s="71" t="str">
        <x:v>Publicidade a empresa societária</x:v>
      </x:c>
      <x:c r="F122" s="71" t="str">
        <x:v>Empresa da qual é sócio, também ligada a Ratinho Jr., recebeu publicidade do Master.</x:v>
      </x:c>
      <x:c r="G122" s="71" t="str">
        <x:v>A empresa afirma que a relação foi exclusivamente comercial; não há prova de contato pessoal.</x:v>
      </x:c>
      <x:c r="H122" s="71" t="str">
        <x:v>Sem contato pessoal demonstrado</x:v>
      </x:c>
      <x:c r="I122" s="78" t="n">
        <x:v>4</x:v>
      </x:c>
      <x:c r="J122" s="71" t="str">
        <x:v>Nacional</x:v>
      </x:c>
      <x:c r="K122" s="71" t="str">
        <x:v>Apresentador de enorme alcance e empresário de comunicação.</x:v>
      </x:c>
      <x:c r="L122" s="80" t="str">
        <x:v>https://www1.folha.uol.com.br/colunas/painel/2026/09/empresa-que-tem-ratinho-e-ratinho-jr-como-socios-recebeu-pagamentos-do-banco-master.shtml</x:v>
      </x:c>
      <x:c r="M122" s="80" t="str"/>
    </x:row>
    <x:row r="123" ht="54" customHeight="1">
      <x:c r="A123" s="72" t="str">
        <x:v>Ratinho Júnior</x:v>
      </x:c>
      <x:c r="B123" s="72" t="str">
        <x:v>Política</x:v>
      </x:c>
      <x:c r="C123" s="72" t="str">
        <x:v>Governador do Paraná</x:v>
      </x:c>
      <x:c r="D123" s="72" t="str">
        <x:v>D — indireto/potencial</x:v>
      </x:c>
      <x:c r="E123" s="72" t="str">
        <x:v>Publicidade a empresa societária</x:v>
      </x:c>
      <x:c r="F123" s="72" t="str">
        <x:v>Empresa da qual é sócio recebeu publicidade do Master.</x:v>
      </x:c>
      <x:c r="G123" s="72" t="str">
        <x:v>A empresa diz que a relação foi apenas comercial; pagamento à empresa não prova contato pessoal ou favorecimento.</x:v>
      </x:c>
      <x:c r="H123" s="72" t="str">
        <x:v>Sem contato pessoal demonstrado</x:v>
      </x:c>
      <x:c r="I123" s="77" t="n">
        <x:v>5</x:v>
      </x:c>
      <x:c r="J123" s="72" t="str">
        <x:v>Nacional/regional</x:v>
      </x:c>
      <x:c r="K123" s="72" t="str">
        <x:v>Governador de grande estado e potencial ator nacional.</x:v>
      </x:c>
      <x:c r="L123" s="79" t="str">
        <x:v>https://www1.folha.uol.com.br/colunas/painel/2026/09/empresa-que-tem-ratinho-e-ratinho-jr-como-socios-recebeu-pagamentos-do-banco-master.shtml</x:v>
      </x:c>
      <x:c r="M123" s="79" t="str"/>
    </x:row>
    <x:row r="124" ht="54" customHeight="1">
      <x:c r="A124" s="71" t="str">
        <x:v>Raul Araújo</x:v>
      </x:c>
      <x:c r="B124" s="71" t="str">
        <x:v>Judiciário</x:v>
      </x:c>
      <x:c r="C124" s="71" t="str">
        <x:v>Ministro do STJ</x:v>
      </x:c>
      <x:c r="D124" s="71" t="str">
        <x:v>D — indireto/potencial</x:v>
      </x:c>
      <x:c r="E124" s="71" t="str">
        <x:v>Evento patrocinado</x:v>
      </x:c>
      <x:c r="F124" s="71" t="str">
        <x:v>Listado entre participantes de eventos internacionais financiados pelo Master.</x:v>
      </x:c>
      <x:c r="G124" s="71" t="str">
        <x:v>Participação em evento não demonstra contato pessoal, favor ou irregularidade.</x:v>
      </x:c>
      <x:c r="H124" s="71" t="str">
        <x:v>Sem imputação individual indicada</x:v>
      </x:c>
      <x:c r="I124" s="78" t="n">
        <x:v>4</x:v>
      </x:c>
      <x:c r="J124" s="71" t="str">
        <x:v>Nacional</x:v>
      </x:c>
      <x:c r="K124" s="71" t="str">
        <x:v>Ministro de tribunal superior.</x:v>
      </x:c>
      <x:c r="L124" s="80" t="str">
        <x:v>https://www1.folha.uol.com.br/mercado/2026/04/master-gastou-r-60-milhoes-com-autoridades-da-republica-em-londres-nova-york-e-lisboa.shtml</x:v>
      </x:c>
      <x:c r="M124" s="80" t="str"/>
    </x:row>
    <x:row r="125" ht="54" customHeight="1">
      <x:c r="A125" s="72" t="str">
        <x:v>Reinaldo Hossepian</x:v>
      </x:c>
      <x:c r="B125" s="72" t="str">
        <x:v>Banco Master</x:v>
      </x:c>
      <x:c r="C125" s="72" t="str">
        <x:v>Ex-diretor de investimentos do Master</x:v>
      </x:c>
      <x:c r="D125" s="72" t="str">
        <x:v>C — agenda apenas</x:v>
      </x:c>
      <x:c r="E125" s="72" t="str">
        <x:v>Contato salvo</x:v>
      </x:c>
      <x:c r="F125" s="72" t="str">
        <x:v>Nome aparece na agenda periciada e tinha função executiva no banco.</x:v>
      </x:c>
      <x:c r="G125" s="72" t="str">
        <x:v>A agenda não prova ato irregular individual.</x:v>
      </x:c>
      <x:c r="H125" s="72" t="str">
        <x:v>Relação profissional evidente; sem imputação na fonte-base</x:v>
      </x:c>
      <x:c r="I125" s="77" t="n">
        <x:v>3</x:v>
      </x:c>
      <x:c r="J125" s="72" t="str">
        <x:v>Nacional/setorial</x:v>
      </x:c>
      <x:c r="K125" s="72" t="str">
        <x:v>Executivo com conhecimento de decisões de investimento do banco.</x:v>
      </x:c>
      <x:c r="L125" s="79" t="str">
        <x:v>https://www.poder360.com.br/poder-justica/agenda-de-vorcaro-tinha-toffoli-moraes-e-nunes-marques-leia-a-lista/</x:v>
      </x:c>
      <x:c r="M125" s="79" t="str"/>
    </x:row>
    <x:row r="126" ht="54" customHeight="1">
      <x:c r="A126" s="71" t="str">
        <x:v>Renilce Nicodemos</x:v>
      </x:c>
      <x:c r="B126" s="71" t="str">
        <x:v>Política</x:v>
      </x:c>
      <x:c r="C126" s="71" t="str">
        <x:v>Deputada federal</x:v>
      </x:c>
      <x:c r="D126" s="71" t="str">
        <x:v>C — agenda apenas</x:v>
      </x:c>
      <x:c r="E126" s="71" t="str">
        <x:v>Contato salvo</x:v>
      </x:c>
      <x:c r="F126" s="71" t="str">
        <x:v>Nome aparece na agenda periciada.</x:v>
      </x:c>
      <x:c r="G126" s="71" t="str">
        <x:v>A fonte-base não demonstra interação ou irregularidade.</x:v>
      </x:c>
      <x:c r="H126" s="71" t="str">
        <x:v>Sem imputação identificada na fonte-base</x:v>
      </x:c>
      <x:c r="I126" s="78" t="n">
        <x:v>3</x:v>
      </x:c>
      <x:c r="J126" s="71" t="str">
        <x:v>Nacional</x:v>
      </x:c>
      <x:c r="K126" s="71" t="str">
        <x:v>Parlamentar federal com influência legislativa e regional.</x:v>
      </x:c>
      <x:c r="L126" s="80" t="str">
        <x:v>https://www.poder360.com.br/poder-justica/agenda-de-vorcaro-tinha-toffoli-moraes-e-nunes-marques-leia-a-lista/</x:v>
      </x:c>
      <x:c r="M126" s="80" t="str"/>
    </x:row>
    <x:row r="127" ht="54" customHeight="1">
      <x:c r="A127" s="72" t="str">
        <x:v>Ricardo Lewandowski</x:v>
      </x:c>
      <x:c r="B127" s="72" t="str">
        <x:v>Judiciário/Executivo</x:v>
      </x:c>
      <x:c r="C127" s="72" t="str">
        <x:v>Ex-ministro do STF e ex-ministro da Justiça</x:v>
      </x:c>
      <x:c r="D127" s="72" t="str">
        <x:v>A — direto confirmado</x:v>
      </x:c>
      <x:c r="E127" s="72" t="str">
        <x:v>Agenda e consultoria jurídica</x:v>
      </x:c>
      <x:c r="F127" s="72" t="str">
        <x:v>Consta da agenda; seu escritório familiar prestou consultoria ao Master antes de sua entrada no governo.</x:v>
      </x:c>
      <x:c r="G127" s="72" t="str">
        <x:v>Lewandowski afirma que o trabalho ocorreu de abril a dezembro de 2023 e terminou antes do ministério; contratação não prova irregularidade.</x:v>
      </x:c>
      <x:c r="H127" s="72" t="str">
        <x:v>Relação profissional admitida</x:v>
      </x:c>
      <x:c r="I127" s="77" t="n">
        <x:v>5</x:v>
      </x:c>
      <x:c r="J127" s="72" t="str">
        <x:v>Nacional/internacional</x:v>
      </x:c>
      <x:c r="K127" s="72" t="str">
        <x:v>Ex-integrante do STF e ex-chefe da Justiça/segurança federal.</x:v>
      </x:c>
      <x:c r="L127" s="79" t="str">
        <x:v>https://www.poder360.com.br/poder-justica/agenda-de-vorcaro-tinha-toffoli-moraes-e-nunes-marques-leia-a-lista/</x:v>
      </x:c>
      <x:c r="M127" s="79" t="str">
        <x:v>https://www.gazetadopovo.com.br/ideias/moraes-gonet-veja-lista-atualizada-quem-envolveu-vorcaro/</x:v>
      </x:c>
    </x:row>
    <x:row r="128" ht="54" customHeight="1">
      <x:c r="A128" s="71" t="str">
        <x:v>Roberta Mariano</x:v>
      </x:c>
      <x:c r="B128" s="71" t="str">
        <x:v>Bancos</x:v>
      </x:c>
      <x:c r="C128" s="71" t="str">
        <x:v>Superintendente do Bradesco</x:v>
      </x:c>
      <x:c r="D128" s="71" t="str">
        <x:v>C — agenda apenas</x:v>
      </x:c>
      <x:c r="E128" s="71" t="str">
        <x:v>Contato salvo</x:v>
      </x:c>
      <x:c r="F128" s="71" t="str">
        <x:v>Nome aparece na agenda periciada.</x:v>
      </x:c>
      <x:c r="G128" s="71" t="str">
        <x:v>A fonte-base não demonstra negócio ou irregularidade.</x:v>
      </x:c>
      <x:c r="H128" s="71" t="str">
        <x:v>Sem imputação identificada na fonte-base</x:v>
      </x:c>
      <x:c r="I128" s="78" t="n">
        <x:v>3</x:v>
      </x:c>
      <x:c r="J128" s="71" t="str">
        <x:v>Nacional/setorial</x:v>
      </x:c>
      <x:c r="K128" s="71" t="str">
        <x:v>Executiva de banco sistêmico.</x:v>
      </x:c>
      <x:c r="L128" s="80" t="str">
        <x:v>https://www.poder360.com.br/poder-justica/agenda-de-vorcaro-tinha-toffoli-moraes-e-nunes-marques-leia-a-lista/</x:v>
      </x:c>
      <x:c r="M128" s="80" t="str"/>
    </x:row>
    <x:row r="129" ht="54" customHeight="1">
      <x:c r="A129" s="72" t="str">
        <x:v>Roberta Rangel</x:v>
      </x:c>
      <x:c r="B129" s="72" t="str">
        <x:v>Advocacia/Família</x:v>
      </x:c>
      <x:c r="C129" s="72" t="str">
        <x:v>Advogada; ex-esposa de Nunes Marques</x:v>
      </x:c>
      <x:c r="D129" s="72" t="str">
        <x:v>C — agenda apenas</x:v>
      </x:c>
      <x:c r="E129" s="72" t="str">
        <x:v>Contato salvo</x:v>
      </x:c>
      <x:c r="F129" s="72" t="str">
        <x:v>Nome aparece na agenda periciada.</x:v>
      </x:c>
      <x:c r="G129" s="72" t="str">
        <x:v>Contato salvo não demonstra contratação ou irregularidade.</x:v>
      </x:c>
      <x:c r="H129" s="72" t="str">
        <x:v>Sem imputação identificada na fonte-base</x:v>
      </x:c>
      <x:c r="I129" s="77" t="n">
        <x:v>2</x:v>
      </x:c>
      <x:c r="J129" s="72" t="str">
        <x:v>Nacional/setorial</x:v>
      </x:c>
      <x:c r="K129" s="72" t="str">
        <x:v>Ligação familiar com ministro do STF e atuação jurídica.</x:v>
      </x:c>
      <x:c r="L129" s="79" t="str">
        <x:v>https://www.poder360.com.br/poder-justica/agenda-de-vorcaro-tinha-toffoli-moraes-e-nunes-marques-leia-a-lista/</x:v>
      </x:c>
      <x:c r="M129" s="79" t="str"/>
    </x:row>
    <x:row r="130" ht="54" customHeight="1">
      <x:c r="A130" s="71" t="str">
        <x:v>Roberto Viana</x:v>
      </x:c>
      <x:c r="B130" s="71" t="str">
        <x:v>Energia</x:v>
      </x:c>
      <x:c r="C130" s="71" t="str">
        <x:v>Empresário; dono da Petra Energia</x:v>
      </x:c>
      <x:c r="D130" s="71" t="str">
        <x:v>C — agenda apenas</x:v>
      </x:c>
      <x:c r="E130" s="71" t="str">
        <x:v>Contato salvo</x:v>
      </x:c>
      <x:c r="F130" s="71" t="str">
        <x:v>Nome aparece na agenda periciada.</x:v>
      </x:c>
      <x:c r="G130" s="71" t="str">
        <x:v>A fonte-base não demonstra negócio ou irregularidade.</x:v>
      </x:c>
      <x:c r="H130" s="71" t="str">
        <x:v>Sem imputação identificada na fonte-base</x:v>
      </x:c>
      <x:c r="I130" s="78" t="n">
        <x:v>3</x:v>
      </x:c>
      <x:c r="J130" s="71" t="str">
        <x:v>Nacional/setorial</x:v>
      </x:c>
      <x:c r="K130" s="71" t="str">
        <x:v>Empresário com ativos e conexões no setor de energia.</x:v>
      </x:c>
      <x:c r="L130" s="80" t="str">
        <x:v>https://www.poder360.com.br/poder-justica/agenda-de-vorcaro-tinha-toffoli-moraes-e-nunes-marques-leia-a-lista/</x:v>
      </x:c>
      <x:c r="M130" s="80" t="str"/>
    </x:row>
    <x:row r="131" ht="54" customHeight="1">
      <x:c r="A131" s="72" t="str">
        <x:v>Rodrigo Pacheco</x:v>
      </x:c>
      <x:c r="B131" s="72" t="str">
        <x:v>Política</x:v>
      </x:c>
      <x:c r="C131" s="72" t="str">
        <x:v>Senador; ex-presidente do Senado</x:v>
      </x:c>
      <x:c r="D131" s="72" t="str">
        <x:v>D — indireto/potencial</x:v>
      </x:c>
      <x:c r="E131" s="72" t="str">
        <x:v>Homenagem/convite em evento</x:v>
      </x:c>
      <x:c r="F131" s="72" t="str">
        <x:v>Foi homenageado/convidado em evento internacional apoiado pelo Master e citado em materiais de organização.</x:v>
      </x:c>
      <x:c r="G131" s="72" t="str">
        <x:v>Homenagem e presença em evento não provam relação pessoal, favor ou irregularidade.</x:v>
      </x:c>
      <x:c r="H131" s="72" t="str">
        <x:v>Sem imputação individual indicada</x:v>
      </x:c>
      <x:c r="I131" s="77" t="n">
        <x:v>5</x:v>
      </x:c>
      <x:c r="J131" s="72" t="str">
        <x:v>Nacional/internacional</x:v>
      </x:c>
      <x:c r="K131" s="72" t="str">
        <x:v>Ex-presidente do Senado e liderança política nacional.</x:v>
      </x:c>
      <x:c r="L131" s="79" t="str">
        <x:v>https://www1.folha.uol.com.br/mercado/2026/04/master-gastou-r-60-milhoes-com-autoridades-da-republica-em-londres-nova-york-e-lisboa.shtml</x:v>
      </x:c>
      <x:c r="M131" s="79" t="str"/>
    </x:row>
    <x:row r="132" ht="54" customHeight="1">
      <x:c r="A132" s="71" t="str">
        <x:v>Romeu Zema</x:v>
      </x:c>
      <x:c r="B132" s="71" t="str">
        <x:v>Política</x:v>
      </x:c>
      <x:c r="C132" s="71" t="str">
        <x:v>Governador de Minas Gerais</x:v>
      </x:c>
      <x:c r="D132" s="71" t="str">
        <x:v>D — indireto/potencial</x:v>
      </x:c>
      <x:c r="E132" s="71" t="str">
        <x:v>Doação partidária e ambiente regulatório</x:v>
      </x:c>
      <x:c r="F132" s="71" t="str">
        <x:v>Pai de Vorcaro doou ao partido de Zema em 2022; mudanças em consignado foram associadas politicamente ao caso.</x:v>
      </x:c>
      <x:c r="G132" s="71" t="str">
        <x:v>Zema nega favor e relação direta; doação legal de familiar não prova contato com Vorcaro.</x:v>
      </x:c>
      <x:c r="H132" s="71" t="str">
        <x:v>Sem contato pessoal demonstrado</x:v>
      </x:c>
      <x:c r="I132" s="78" t="n">
        <x:v>5</x:v>
      </x:c>
      <x:c r="J132" s="71" t="str">
        <x:v>Nacional</x:v>
      </x:c>
      <x:c r="K132" s="71" t="str">
        <x:v>Governador de grande estado e liderança nacional do Novo.</x:v>
      </x:c>
      <x:c r="L132" s="80" t="str">
        <x:v>https://www.gazetadopovo.com.br/ideias/moraes-gonet-veja-lista-atualizada-quem-envolveu-vorcaro/</x:v>
      </x:c>
      <x:c r="M132" s="80" t="str"/>
    </x:row>
    <x:row r="133" ht="54" customHeight="1">
      <x:c r="A133" s="72" t="str">
        <x:v>Romy Banco Master</x:v>
      </x:c>
      <x:c r="B133" s="72" t="str">
        <x:v>Banco Master</x:v>
      </x:c>
      <x:c r="C133" s="72" t="str">
        <x:v>Funcionário(a) identificado(a) por alcunha</x:v>
      </x:c>
      <x:c r="D133" s="72" t="str">
        <x:v>B — direto documentado/controvertido</x:v>
      </x:c>
      <x:c r="E133" s="72" t="str">
        <x:v>Mensagens operacionais</x:v>
      </x:c>
      <x:c r="F133" s="72" t="str">
        <x:v>Contato aparece em mensagens/logística financeira do banco.</x:v>
      </x:c>
      <x:c r="G133" s="72" t="str">
        <x:v>Identidade civil e cargo exato não foram confirmados publicamente.</x:v>
      </x:c>
      <x:c r="H133" s="72" t="str">
        <x:v>Contato operacional; identidade incompleta</x:v>
      </x:c>
      <x:c r="I133" s="77" t="n">
        <x:v>1</x:v>
      </x:c>
      <x:c r="J133" s="72" t="str">
        <x:v>Operacional</x:v>
      </x:c>
      <x:c r="K133" s="72" t="str">
        <x:v>Pode esclarecer rotinas internas, apesar de pouca projeção pública.</x:v>
      </x:c>
      <x:c r="L133" s="79" t="str">
        <x:v>https://static.poder360.com.br/uploads/2026/09/pet16662_relatorio_pf_celular_vorcaro_moraes_gonet_andrei_barci.pdf</x:v>
      </x:c>
      <x:c r="M133" s="79" t="str"/>
    </x:row>
    <x:row r="134" ht="54" customHeight="1">
      <x:c r="A134" s="71" t="str">
        <x:v>Ronaldo Bento</x:v>
      </x:c>
      <x:c r="B134" s="71" t="str">
        <x:v>Política/Negócios</x:v>
      </x:c>
      <x:c r="C134" s="71" t="str">
        <x:v>Ex-ministro da Cidadania; diretor de empresas</x:v>
      </x:c>
      <x:c r="D134" s="71" t="str">
        <x:v>A — direto confirmado</x:v>
      </x:c>
      <x:c r="E134" s="71" t="str">
        <x:v>Vínculo profissional pós-governo</x:v>
      </x:c>
      <x:c r="F134" s="71" t="str">
        <x:v>Após deixar o governo, assumiu funções em empresas derivadas/ligadas ao ecossistema Master.</x:v>
      </x:c>
      <x:c r="G134" s="71" t="str">
        <x:v>Bento afirma que a atuação foi legal e respeitou quarentena; porta giratória não é ilícito por si só.</x:v>
      </x:c>
      <x:c r="H134" s="71" t="str">
        <x:v>Relação profissional admitida</x:v>
      </x:c>
      <x:c r="I134" s="78" t="n">
        <x:v>4</x:v>
      </x:c>
      <x:c r="J134" s="71" t="str">
        <x:v>Nacional</x:v>
      </x:c>
      <x:c r="K134" s="71" t="str">
        <x:v>Ex-ministro com conhecimento da administração pública e acesso político.</x:v>
      </x:c>
      <x:c r="L134" s="80" t="str">
        <x:v>https://www.gazetadopovo.com.br/ideias/moraes-gonet-veja-lista-atualizada-quem-envolveu-vorcaro/</x:v>
      </x:c>
      <x:c r="M134" s="80" t="str"/>
    </x:row>
    <x:row r="135" ht="54" customHeight="1">
      <x:c r="A135" s="72" t="str">
        <x:v>Ronaldo Caiado</x:v>
      </x:c>
      <x:c r="B135" s="72" t="str">
        <x:v>Política</x:v>
      </x:c>
      <x:c r="C135" s="72" t="str">
        <x:v>Governador de Goiás</x:v>
      </x:c>
      <x:c r="D135" s="72" t="str">
        <x:v>D — indireto/potencial</x:v>
      </x:c>
      <x:c r="E135" s="72" t="str">
        <x:v>Reuniões e mudança regulatória estadual</x:v>
      </x:c>
      <x:c r="F135" s="72" t="str">
        <x:v>Fontes registram reuniões antes de alteração em regras de consignado no estado.</x:v>
      </x:c>
      <x:c r="G135" s="72" t="str">
        <x:v>Governo afirma que não houve contrato/repasses ao Master, que a norma seguiu regra federal e abriu espaço a dezenas de instituições.</x:v>
      </x:c>
      <x:c r="H135" s="72" t="str">
        <x:v>Contato institucional; nexo causal não demonstrado</x:v>
      </x:c>
      <x:c r="I135" s="77" t="n">
        <x:v>5</x:v>
      </x:c>
      <x:c r="J135" s="72" t="str">
        <x:v>Nacional</x:v>
      </x:c>
      <x:c r="K135" s="72" t="str">
        <x:v>Governador e liderança presidencial/nacional relevante.</x:v>
      </x:c>
      <x:c r="L135" s="79" t="str">
        <x:v>https://www.gazetadopovo.com.br/ideias/moraes-gonet-veja-lista-atualizada-quem-envolveu-vorcaro/</x:v>
      </x:c>
      <x:c r="M135" s="79" t="str"/>
    </x:row>
    <x:row r="136" ht="54" customHeight="1">
      <x:c r="A136" s="71" t="str">
        <x:v>Rui Costa</x:v>
      </x:c>
      <x:c r="B136" s="71" t="str">
        <x:v>Política</x:v>
      </x:c>
      <x:c r="C136" s="71" t="str">
        <x:v>Ministro-chefe da Casa Civil; ex-governador da Bahia</x:v>
      </x:c>
      <x:c r="D136" s="71" t="str">
        <x:v>D — indireto/potencial</x:v>
      </x:c>
      <x:c r="E136" s="71" t="str">
        <x:v>Decisões institucionais passadas</x:v>
      </x:c>
      <x:c r="F136" s="71" t="str">
        <x:v>Reportagens ligam privatização da Ebal e regras de consignado na Bahia a empresas que depois integraram o ecossistema Credcesta/Master.</x:v>
      </x:c>
      <x:c r="G136" s="71" t="str">
        <x:v>Costa nega favorecimento; decisões públicas e negócios posteriores não provam relação pessoal.</x:v>
      </x:c>
      <x:c r="H136" s="71" t="str">
        <x:v>Sem contato pessoal demonstrado</x:v>
      </x:c>
      <x:c r="I136" s="78" t="n">
        <x:v>5</x:v>
      </x:c>
      <x:c r="J136" s="71" t="str">
        <x:v>Nacional</x:v>
      </x:c>
      <x:c r="K136" s="71" t="str">
        <x:v>Chefe da Casa Civil e coordenador central do governo federal.</x:v>
      </x:c>
      <x:c r="L136" s="80" t="str">
        <x:v>https://www.gazetadopovo.com.br/ideias/moraes-gonet-veja-lista-atualizada-quem-envolveu-vorcaro/</x:v>
      </x:c>
      <x:c r="M136" s="80" t="str"/>
    </x:row>
    <x:row r="137" ht="54" customHeight="1">
      <x:c r="A137" s="72" t="str">
        <x:v>Saulo Wanderley</x:v>
      </x:c>
      <x:c r="B137" s="72" t="str">
        <x:v>Negócios/Aviação</x:v>
      </x:c>
      <x:c r="C137" s="72" t="str">
        <x:v>Empresário ligado a aeronave e SPE FSW</x:v>
      </x:c>
      <x:c r="D137" s="72" t="str">
        <x:v>C — agenda apenas</x:v>
      </x:c>
      <x:c r="E137" s="72" t="str">
        <x:v>Contato salvo</x:v>
      </x:c>
      <x:c r="F137" s="72" t="str">
        <x:v>Nome aparece na agenda periciada.</x:v>
      </x:c>
      <x:c r="G137" s="72" t="str">
        <x:v>A fonte-base não demonstra interação ou irregularidade.</x:v>
      </x:c>
      <x:c r="H137" s="72" t="str">
        <x:v>Sem imputação identificada na fonte-base</x:v>
      </x:c>
      <x:c r="I137" s="77" t="n">
        <x:v>2</x:v>
      </x:c>
      <x:c r="J137" s="72" t="str">
        <x:v>Nacional/setorial</x:v>
      </x:c>
      <x:c r="K137" s="72" t="str">
        <x:v>Possível conexão operacional em ativos aeronáuticos.</x:v>
      </x:c>
      <x:c r="L137" s="79" t="str">
        <x:v>https://www.poder360.com.br/poder-justica/agenda-de-vorcaro-tinha-toffoli-moraes-e-nunes-marques-leia-a-lista/</x:v>
      </x:c>
      <x:c r="M137" s="79" t="str"/>
    </x:row>
    <x:row r="138" ht="54" customHeight="1">
      <x:c r="A138" s="71" t="str">
        <x:v>Serginho Machado</x:v>
      </x:c>
      <x:c r="B138" s="71" t="str">
        <x:v>Identidade incerta</x:v>
      </x:c>
      <x:c r="C138" s="71" t="str">
        <x:v>Contato/alcunha; identidade não confirmada</x:v>
      </x:c>
      <x:c r="D138" s="71" t="str">
        <x:v>E — fraco/ambíguo</x:v>
      </x:c>
      <x:c r="E138" s="71" t="str">
        <x:v>Contato salvo</x:v>
      </x:c>
      <x:c r="F138" s="71" t="str">
        <x:v>Rótulo consta da agenda periciada.</x:v>
      </x:c>
      <x:c r="G138" s="71" t="str">
        <x:v>Não confundir automaticamente com homônimos conhecidos.</x:v>
      </x:c>
      <x:c r="H138" s="71" t="str">
        <x:v>Identidade não confirmada</x:v>
      </x:c>
      <x:c r="I138" s="78" t="n">
        <x:v>1</x:v>
      </x:c>
      <x:c r="J138" s="71" t="str">
        <x:v>Indeterminado</x:v>
      </x:c>
      <x:c r="K138" s="71" t="str">
        <x:v>Sem base para avaliar influência.</x:v>
      </x:c>
      <x:c r="L138" s="80" t="str">
        <x:v>https://www.poder360.com.br/poder-justica/agenda-de-vorcaro-tinha-toffoli-moraes-e-nunes-marques-leia-a-lista/</x:v>
      </x:c>
      <x:c r="M138" s="80" t="str"/>
    </x:row>
    <x:row r="139" ht="54" customHeight="1">
      <x:c r="A139" s="72" t="str">
        <x:v>Sidney Simbol</x:v>
      </x:c>
      <x:c r="B139" s="72" t="str">
        <x:v>Identidade incerta</x:v>
      </x:c>
      <x:c r="C139" s="72" t="str">
        <x:v>Contato; cargo não confirmado</x:v>
      </x:c>
      <x:c r="D139" s="72" t="str">
        <x:v>E — fraco/ambíguo</x:v>
      </x:c>
      <x:c r="E139" s="72" t="str">
        <x:v>Contato salvo</x:v>
      </x:c>
      <x:c r="F139" s="72" t="str">
        <x:v>Nome/rótulo aparece na agenda periciada.</x:v>
      </x:c>
      <x:c r="G139" s="72" t="str">
        <x:v>Identidade profissional não confirmada.</x:v>
      </x:c>
      <x:c r="H139" s="72" t="str">
        <x:v>Identidade/cargo não confirmados</x:v>
      </x:c>
      <x:c r="I139" s="77" t="n">
        <x:v>1</x:v>
      </x:c>
      <x:c r="J139" s="72" t="str">
        <x:v>Indeterminado</x:v>
      </x:c>
      <x:c r="K139" s="72" t="str">
        <x:v>Sem base para avaliar influência.</x:v>
      </x:c>
      <x:c r="L139" s="79" t="str">
        <x:v>https://www.poder360.com.br/poder-justica/agenda-de-vorcaro-tinha-toffoli-moraes-e-nunes-marques-leia-a-lista/</x:v>
      </x:c>
      <x:c r="M139" s="79" t="str"/>
    </x:row>
    <x:row r="140" ht="54" customHeight="1">
      <x:c r="A140" s="71" t="str">
        <x:v>Silvio Costa Filho</x:v>
      </x:c>
      <x:c r="B140" s="71" t="str">
        <x:v>Executivo/Política</x:v>
      </x:c>
      <x:c r="C140" s="71" t="str">
        <x:v>Ministro de Portos e Aeroportos</x:v>
      </x:c>
      <x:c r="D140" s="71" t="str">
        <x:v>C — agenda apenas</x:v>
      </x:c>
      <x:c r="E140" s="71" t="str">
        <x:v>Contato salvo</x:v>
      </x:c>
      <x:c r="F140" s="71" t="str">
        <x:v>Nome aparece na agenda periciada.</x:v>
      </x:c>
      <x:c r="G140" s="71" t="str">
        <x:v>A fonte-base não demonstra conversa ou irregularidade.</x:v>
      </x:c>
      <x:c r="H140" s="71" t="str">
        <x:v>Sem imputação identificada na fonte-base</x:v>
      </x:c>
      <x:c r="I140" s="78" t="n">
        <x:v>4</x:v>
      </x:c>
      <x:c r="J140" s="71" t="str">
        <x:v>Nacional/internacional</x:v>
      </x:c>
      <x:c r="K140" s="71" t="str">
        <x:v>Controla política de infraestrutura logística e concessões.</x:v>
      </x:c>
      <x:c r="L140" s="80" t="str">
        <x:v>https://www.poder360.com.br/poder-justica/agenda-de-vorcaro-tinha-toffoli-moraes-e-nunes-marques-leia-a-lista/</x:v>
      </x:c>
      <x:c r="M140" s="80" t="str"/>
    </x:row>
    <x:row r="141" ht="54" customHeight="1">
      <x:c r="A141" s="72" t="str">
        <x:v>Stella Vorcaro</x:v>
      </x:c>
      <x:c r="B141" s="72" t="str">
        <x:v>Família</x:v>
      </x:c>
      <x:c r="C141" s="72" t="str">
        <x:v>Filha de Daniel Vorcaro</x:v>
      </x:c>
      <x:c r="D141" s="72" t="str">
        <x:v>A — direto confirmado</x:v>
      </x:c>
      <x:c r="E141" s="72" t="str">
        <x:v>Família e mensagens privadas</x:v>
      </x:c>
      <x:c r="F141" s="72" t="str">
        <x:v>É citada no relatório em referências familiares/logísticas.</x:v>
      </x:c>
      <x:c r="G141" s="72" t="str">
        <x:v>Vínculo familiar não implica participação em negócios ou irregularidades.</x:v>
      </x:c>
      <x:c r="H141" s="72" t="str">
        <x:v>Familiar; sem imputação individual indicada</x:v>
      </x:c>
      <x:c r="I141" s="77" t="n">
        <x:v>1</x:v>
      </x:c>
      <x:c r="J141" s="72" t="str">
        <x:v>Privado</x:v>
      </x:c>
      <x:c r="K141" s="72" t="str">
        <x:v>Relevância pública baixa; menção serve apenas para contextualizar mensagens.</x:v>
      </x:c>
      <x:c r="L141" s="79" t="str">
        <x:v>https://static.poder360.com.br/uploads/2026/09/pet16662_relatorio_pf_celular_vorcaro_moraes_gonet_andrei_barci.pdf</x:v>
      </x:c>
      <x:c r="M141" s="79" t="str"/>
    </x:row>
    <x:row r="142" ht="54" customHeight="1">
      <x:c r="A142" s="71" t="str">
        <x:v>Stephan Credit Suisse</x:v>
      </x:c>
      <x:c r="B142" s="71" t="str">
        <x:v>Finanças/Identidade incerta</x:v>
      </x:c>
      <x:c r="C142" s="71" t="str">
        <x:v>Contato identificado por prenome e instituição</x:v>
      </x:c>
      <x:c r="D142" s="71" t="str">
        <x:v>E — fraco/ambíguo</x:v>
      </x:c>
      <x:c r="E142" s="71" t="str">
        <x:v>Contato salvo</x:v>
      </x:c>
      <x:c r="F142" s="71" t="str">
        <x:v>Rótulo aparece na agenda periciada.</x:v>
      </x:c>
      <x:c r="G142" s="71" t="str">
        <x:v>Identidade civil/cargo não confirmados; não atribuir atos ao banco.</x:v>
      </x:c>
      <x:c r="H142" s="71" t="str">
        <x:v>Identidade não confirmada</x:v>
      </x:c>
      <x:c r="I142" s="78" t="n">
        <x:v>1</x:v>
      </x:c>
      <x:c r="J142" s="71" t="str">
        <x:v>Indeterminado</x:v>
      </x:c>
      <x:c r="K142" s="71" t="str">
        <x:v>Pode indicar rede financeira, mas falta individualização.</x:v>
      </x:c>
      <x:c r="L142" s="80" t="str">
        <x:v>https://www.poder360.com.br/poder-justica/agenda-de-vorcaro-tinha-toffoli-moraes-e-nunes-marques-leia-a-lista/</x:v>
      </x:c>
      <x:c r="M142" s="80" t="str"/>
    </x:row>
    <x:row r="143" ht="54" customHeight="1">
      <x:c r="A143" s="72" t="str">
        <x:v>Stheve Lopes</x:v>
      </x:c>
      <x:c r="B143" s="72" t="str">
        <x:v>Eventos/Entretenimento</x:v>
      </x:c>
      <x:c r="C143" s="72" t="str">
        <x:v>Organizador de eventos/modelos</x:v>
      </x:c>
      <x:c r="D143" s="72" t="str">
        <x:v>A — direto confirmado</x:v>
      </x:c>
      <x:c r="E143" s="72" t="str">
        <x:v>Mensagens e organização</x:v>
      </x:c>
      <x:c r="F143" s="72" t="str">
        <x:v>Aparece em mensagens diretas e na logística de eventos; tratamento amistoso foi destacado pela imprensa.</x:v>
      </x:c>
      <x:c r="G143" s="72" t="str">
        <x:v>Tom informal e organização de evento não provam ilícito.</x:v>
      </x:c>
      <x:c r="H143" s="72" t="str">
        <x:v>Contato documentado</x:v>
      </x:c>
      <x:c r="I143" s="77" t="n">
        <x:v>2</x:v>
      </x:c>
      <x:c r="J143" s="72" t="str">
        <x:v>Nacional/setorial</x:v>
      </x:c>
      <x:c r="K143" s="72" t="str">
        <x:v>Operador de acesso social e produção de eventos.</x:v>
      </x:c>
      <x:c r="L143" s="79" t="str">
        <x:v>https://www1.folha.uol.com.br/poder/2026/09/veja-quem-chamou-daniel-vorcaro-de-irmao-e-quem-foi-chamado-da-mesma-forma-pelo-ex-banqueiro.shtml</x:v>
      </x:c>
      <x:c r="M143" s="79" t="str"/>
    </x:row>
    <x:row r="144" ht="54" customHeight="1">
      <x:c r="A144" s="71" t="str">
        <x:v>Tati Lima</x:v>
      </x:c>
      <x:c r="B144" s="71" t="str">
        <x:v>Identidade incerta</x:v>
      </x:c>
      <x:c r="C144" s="71" t="str">
        <x:v>Contato; ocupação não confirmada na fonte-base</x:v>
      </x:c>
      <x:c r="D144" s="71" t="str">
        <x:v>E — fraco/ambíguo</x:v>
      </x:c>
      <x:c r="E144" s="71" t="str">
        <x:v>Contato salvo</x:v>
      </x:c>
      <x:c r="F144" s="71" t="str">
        <x:v>Nome aparece na agenda periciada.</x:v>
      </x:c>
      <x:c r="G144" s="71" t="str">
        <x:v>Homônimo possível; não foi identificada por suposição.</x:v>
      </x:c>
      <x:c r="H144" s="71" t="str">
        <x:v>Identidade/cargo não confirmados</x:v>
      </x:c>
      <x:c r="I144" s="78" t="n">
        <x:v>1</x:v>
      </x:c>
      <x:c r="J144" s="71" t="str">
        <x:v>Indeterminado</x:v>
      </x:c>
      <x:c r="K144" s="71" t="str">
        <x:v>Sem base segura para avaliar influência.</x:v>
      </x:c>
      <x:c r="L144" s="80" t="str">
        <x:v>https://www.poder360.com.br/poder-justica/agenda-de-vorcaro-tinha-toffoli-moraes-e-nunes-marques-leia-a-lista/</x:v>
      </x:c>
      <x:c r="M144" s="80" t="str"/>
    </x:row>
    <x:row r="145" ht="54" customHeight="1">
      <x:c r="A145" s="72" t="str">
        <x:v>Thatiane Prime</x:v>
      </x:c>
      <x:c r="B145" s="72" t="str">
        <x:v>Aviação/Negócios</x:v>
      </x:c>
      <x:c r="C145" s="72" t="str">
        <x:v>Funcionária/associada da Prime You</x:v>
      </x:c>
      <x:c r="D145" s="72" t="str">
        <x:v>B — direto documentado/controvertido</x:v>
      </x:c>
      <x:c r="E145" s="72" t="str">
        <x:v>Mensagens e logística</x:v>
      </x:c>
      <x:c r="F145" s="72" t="str">
        <x:v>Aparece nas tratativas operacionais envolvendo cotas de aeronaves.</x:v>
      </x:c>
      <x:c r="G145" s="72" t="str">
        <x:v>Papel exato e eventual benefício não estão totalmente estabelecidos; tratativa não prova ilícito.</x:v>
      </x:c>
      <x:c r="H145" s="72" t="str">
        <x:v>Contato operacional citado em relatório</x:v>
      </x:c>
      <x:c r="I145" s="77" t="n">
        <x:v>2</x:v>
      </x:c>
      <x:c r="J145" s="72" t="str">
        <x:v>Setorial</x:v>
      </x:c>
      <x:c r="K145" s="72" t="str">
        <x:v>Acesso a documentação e logística de ativos aeronáuticos.</x:v>
      </x:c>
      <x:c r="L145" s="79" t="str">
        <x:v>https://static.poder360.com.br/uploads/2026/09/pet16662_relatorio_pf_celular_vorcaro_moraes_gonet_andrei_barci.pdf</x:v>
      </x:c>
      <x:c r="M145" s="79" t="str"/>
    </x:row>
    <x:row r="146" ht="54" customHeight="1">
      <x:c r="A146" s="71" t="str">
        <x:v>Thiago Miranda</x:v>
      </x:c>
      <x:c r="B146" s="71" t="str">
        <x:v>Negócios</x:v>
      </x:c>
      <x:c r="C146" s="71" t="str">
        <x:v>Empresário/pessoa citada na 9ª fase</x:v>
      </x:c>
      <x:c r="D146" s="71" t="str">
        <x:v>D — indireto/potencial</x:v>
      </x:c>
      <x:c r="E146" s="71" t="str">
        <x:v>Operação policial</x:v>
      </x:c>
      <x:c r="F146" s="71" t="str">
        <x:v>Citado entre investigados/alvos da fase ligada a Jaques Wagner e operadores.</x:v>
      </x:c>
      <x:c r="G146" s="71" t="str">
        <x:v>Investigação não equivale a condenação.</x:v>
      </x:c>
      <x:c r="H146" s="71" t="str">
        <x:v>Alvo/investigado; presunção de inocência</x:v>
      </x:c>
      <x:c r="I146" s="78" t="n">
        <x:v>2</x:v>
      </x:c>
      <x:c r="J146" s="71" t="str">
        <x:v>Setorial</x:v>
      </x:c>
      <x:c r="K146" s="71" t="str">
        <x:v>Possível elo operacional/empresarial.</x:v>
      </x:c>
      <x:c r="L146" s="80" t="str">
        <x:v>https://noticias.stf.jus.br/postsnoticias/stf-autoriza-9a-fase-da-operacao-compliance-zero-em-sp-ba-e-df/</x:v>
      </x:c>
      <x:c r="M146" s="80" t="str"/>
    </x:row>
    <x:row r="147" ht="54" customHeight="1">
      <x:c r="A147" s="72" t="str">
        <x:v>Thiago Moura</x:v>
      </x:c>
      <x:c r="B147" s="72" t="str">
        <x:v>Identidade incerta</x:v>
      </x:c>
      <x:c r="C147" s="72" t="str">
        <x:v>Contato; cargo não confirmado</x:v>
      </x:c>
      <x:c r="D147" s="72" t="str">
        <x:v>E — fraco/ambíguo</x:v>
      </x:c>
      <x:c r="E147" s="72" t="str">
        <x:v>Contato salvo</x:v>
      </x:c>
      <x:c r="F147" s="72" t="str">
        <x:v>Nome aparece na agenda periciada.</x:v>
      </x:c>
      <x:c r="G147" s="72" t="str">
        <x:v>Homônimo possível; identidade não atribuída.</x:v>
      </x:c>
      <x:c r="H147" s="72" t="str">
        <x:v>Identidade/cargo não confirmados</x:v>
      </x:c>
      <x:c r="I147" s="77" t="n">
        <x:v>1</x:v>
      </x:c>
      <x:c r="J147" s="72" t="str">
        <x:v>Indeterminado</x:v>
      </x:c>
      <x:c r="K147" s="72" t="str">
        <x:v>Sem base para avaliar influência.</x:v>
      </x:c>
      <x:c r="L147" s="79" t="str">
        <x:v>https://www.poder360.com.br/poder-justica/agenda-de-vorcaro-tinha-toffoli-moraes-e-nunes-marques-leia-a-lista/</x:v>
      </x:c>
      <x:c r="M147" s="79" t="str"/>
    </x:row>
    <x:row r="148" ht="54" customHeight="1">
      <x:c r="A148" s="71" t="str">
        <x:v>Thiago Rodrigues de Faria</x:v>
      </x:c>
      <x:c r="B148" s="71" t="str">
        <x:v>Advocacia/Política</x:v>
      </x:c>
      <x:c r="C148" s="71" t="str">
        <x:v>Advogado; ex-assessor de Nikolas Ferreira</x:v>
      </x:c>
      <x:c r="D148" s="71" t="str">
        <x:v>B — direto documentado/controvertido</x:v>
      </x:c>
      <x:c r="E148" s="71" t="str">
        <x:v>Pedido intermediado</x:v>
      </x:c>
      <x:c r="F148" s="71" t="str">
        <x:v>Mensagens indicam que Nikolas buscou ajuda de Vorcaro para questão ligada a ativo mineral associado a Thiago.</x:v>
      </x:c>
      <x:c r="G148" s="71" t="str">
        <x:v>Nikolas e envolvidos negam irregularidade; pedido não prova atendimento ou benefício.</x:v>
      </x:c>
      <x:c r="H148" s="71" t="str">
        <x:v>Citado em mensagens; nexo sob apuração</x:v>
      </x:c>
      <x:c r="I148" s="78" t="n">
        <x:v>2</x:v>
      </x:c>
      <x:c r="J148" s="71" t="str">
        <x:v>Nacional/setorial</x:v>
      </x:c>
      <x:c r="K148" s="71" t="str">
        <x:v>Elo entre gabinete político e interesse empresarial específico.</x:v>
      </x:c>
      <x:c r="L148" s="80" t="str">
        <x:v>https://noticias.uol.com.br/politica/ultimas-noticias/2026/09/03/nikolas-ferreira-daniel-vorcaro-resposta.ghtm</x:v>
      </x:c>
      <x:c r="M148" s="80" t="str"/>
    </x:row>
    <x:row r="149" ht="54" customHeight="1">
      <x:c r="A149" s="72" t="str">
        <x:v>Tony Blair</x:v>
      </x:c>
      <x:c r="B149" s="72" t="str">
        <x:v>Política internacional</x:v>
      </x:c>
      <x:c r="C149" s="72" t="str">
        <x:v>Ex-primeiro-ministro do Reino Unido</x:v>
      </x:c>
      <x:c r="D149" s="72" t="str">
        <x:v>D — indireto/potencial</x:v>
      </x:c>
      <x:c r="E149" s="72" t="str">
        <x:v>Palestra/encontro em evento</x:v>
      </x:c>
      <x:c r="F149" s="72" t="str">
        <x:v>Foi palestrante e tema de logística/mensagens em evento organizado com apoio do grupo.</x:v>
      </x:c>
      <x:c r="G149" s="72" t="str">
        <x:v>Participação profissional em evento não demonstra relação pessoal com Vorcaro nem irregularidade.</x:v>
      </x:c>
      <x:c r="H149" s="72" t="str">
        <x:v>Sem imputação individual indicada</x:v>
      </x:c>
      <x:c r="I149" s="77" t="n">
        <x:v>5</x:v>
      </x:c>
      <x:c r="J149" s="72" t="str">
        <x:v>Global</x:v>
      </x:c>
      <x:c r="K149" s="72" t="str">
        <x:v>Ex-chefe de governo com rede global de política e consultoria.</x:v>
      </x:c>
      <x:c r="L149" s="79" t="str">
        <x:v>https://static.poder360.com.br/uploads/2026/09/pet16662_relatorio_pf_celular_vorcaro_moraes_gonet_andrei_barci.pdf</x:v>
      </x:c>
      <x:c r="M149" s="79" t="str">
        <x:v>https://www1.folha.uol.com.br/mercado/2026/04/master-gastou-r-60-milhoes-com-autoridades-da-republica-em-londres-nova-york-e-lisboa.shtml</x:v>
      </x:c>
    </x:row>
    <x:row r="150" ht="54" customHeight="1">
      <x:c r="A150" s="71" t="str">
        <x:v>Valdir Moysés Simão</x:v>
      </x:c>
      <x:c r="B150" s="71" t="str">
        <x:v>Controle/Advocacia</x:v>
      </x:c>
      <x:c r="C150" s="71" t="str">
        <x:v>Ex-ministro-chefe da CGU</x:v>
      </x:c>
      <x:c r="D150" s="71" t="str">
        <x:v>C — agenda apenas</x:v>
      </x:c>
      <x:c r="E150" s="71" t="str">
        <x:v>Contato salvo</x:v>
      </x:c>
      <x:c r="F150" s="71" t="str">
        <x:v>Nome aparece na agenda periciada.</x:v>
      </x:c>
      <x:c r="G150" s="71" t="str">
        <x:v>A fonte-base não demonstra conversa ou irregularidade.</x:v>
      </x:c>
      <x:c r="H150" s="71" t="str">
        <x:v>Sem imputação identificada na fonte-base</x:v>
      </x:c>
      <x:c r="I150" s="78" t="n">
        <x:v>4</x:v>
      </x:c>
      <x:c r="J150" s="71" t="str">
        <x:v>Nacional</x:v>
      </x:c>
      <x:c r="K150" s="71" t="str">
        <x:v>Ex-chefe do controle interno federal e especialista em compliance.</x:v>
      </x:c>
      <x:c r="L150" s="80" t="str">
        <x:v>https://www.poder360.com.br/poder-justica/agenda-de-vorcaro-tinha-toffoli-moraes-e-nunes-marques-leia-a-lista/</x:v>
      </x:c>
      <x:c r="M150" s="80" t="str"/>
    </x:row>
    <x:row r="151" ht="54" customHeight="1">
      <x:c r="A151" s="72" t="str">
        <x:v>Valéria Vieira Pereira da Silva</x:v>
      </x:c>
      <x:c r="B151" s="72" t="str">
        <x:v>Negócios</x:v>
      </x:c>
      <x:c r="C151" s="72" t="str">
        <x:v>Pessoa ligada a estruturas investigadas</x:v>
      </x:c>
      <x:c r="D151" s="72" t="str">
        <x:v>D — indireto/potencial</x:v>
      </x:c>
      <x:c r="E151" s="72" t="str">
        <x:v>Operação policial</x:v>
      </x:c>
      <x:c r="F151" s="72" t="str">
        <x:v>Citada entre alvos/investigados da Compliance Zero.</x:v>
      </x:c>
      <x:c r="G151" s="72" t="str">
        <x:v>Investigação não equivale a condenação.</x:v>
      </x:c>
      <x:c r="H151" s="72" t="str">
        <x:v>Alvo/investigado; presunção de inocência</x:v>
      </x:c>
      <x:c r="I151" s="77" t="n">
        <x:v>2</x:v>
      </x:c>
      <x:c r="J151" s="72" t="str">
        <x:v>Setorial</x:v>
      </x:c>
      <x:c r="K151" s="72" t="str">
        <x:v>Possível elo operacional/patrimonial.</x:v>
      </x:c>
      <x:c r="L151" s="79" t="str">
        <x:v>https://noticias.stf.jus.br/postsnoticias/stf-atende-a-pedido-da-pf-e-determina-prisao-de-daniel-vorcaro-e-outros-investigados-por-supostas-fraudes-no-banco-master/</x:v>
      </x:c>
      <x:c r="M151" s="79" t="str"/>
    </x:row>
    <x:row r="152" ht="54" customHeight="1">
      <x:c r="A152" s="71" t="str">
        <x:v>Valério Asset Ask</x:v>
      </x:c>
      <x:c r="B152" s="71" t="str">
        <x:v>Finanças/Identidade incerta</x:v>
      </x:c>
      <x:c r="C152" s="71" t="str">
        <x:v>Contato/alcunha associado a gestão de ativos</x:v>
      </x:c>
      <x:c r="D152" s="71" t="str">
        <x:v>E — fraco/ambíguo</x:v>
      </x:c>
      <x:c r="E152" s="71" t="str">
        <x:v>Contato salvo</x:v>
      </x:c>
      <x:c r="F152" s="71" t="str">
        <x:v>Rótulo consta da agenda periciada.</x:v>
      </x:c>
      <x:c r="G152" s="71" t="str">
        <x:v>Pessoa e instituição não foram identificadas com segurança.</x:v>
      </x:c>
      <x:c r="H152" s="71" t="str">
        <x:v>Identidade não confirmada</x:v>
      </x:c>
      <x:c r="I152" s="78" t="n">
        <x:v>1</x:v>
      </x:c>
      <x:c r="J152" s="71" t="str">
        <x:v>Indeterminado</x:v>
      </x:c>
      <x:c r="K152" s="71" t="str">
        <x:v>Sinal de rede financeira, sem individualização.</x:v>
      </x:c>
      <x:c r="L152" s="80" t="str">
        <x:v>https://www.poder360.com.br/poder-justica/agenda-de-vorcaro-tinha-toffoli-moraes-e-nunes-marques-leia-a-lista/</x:v>
      </x:c>
      <x:c r="M152" s="80" t="str"/>
    </x:row>
    <x:row r="153" ht="54" customHeight="1">
      <x:c r="A153" s="72" t="str">
        <x:v>Valério Marega Júnior</x:v>
      </x:c>
      <x:c r="B153" s="72" t="str">
        <x:v>Finanças</x:v>
      </x:c>
      <x:c r="C153" s="72" t="str">
        <x:v>Empresário/operador financeiro citado</x:v>
      </x:c>
      <x:c r="D153" s="72" t="str">
        <x:v>D — indireto/potencial</x:v>
      </x:c>
      <x:c r="E153" s="72" t="str">
        <x:v>Operação policial</x:v>
      </x:c>
      <x:c r="F153" s="72" t="str">
        <x:v>Alvo na 9ª fase, descrito em reportagem como operador financeiro.</x:v>
      </x:c>
      <x:c r="G153" s="72" t="str">
        <x:v>Marega negou envolvimento; medida investigativa não equivale a culpa.</x:v>
      </x:c>
      <x:c r="H153" s="72" t="str">
        <x:v>Alvo/investigado; presunção de inocência</x:v>
      </x:c>
      <x:c r="I153" s="77" t="n">
        <x:v>3</x:v>
      </x:c>
      <x:c r="J153" s="72" t="str">
        <x:v>Nacional/setorial</x:v>
      </x:c>
      <x:c r="K153" s="72" t="str">
        <x:v>Possível elo de execução e rastreamento de fluxos.</x:v>
      </x:c>
      <x:c r="L153" s="79" t="str">
        <x:v>https://www.cnnbrasil.com.br/politica/veja-quem-sao-os-oito-alvos-da-nova-fase-da-operacao-do-caso-master/</x:v>
      </x:c>
      <x:c r="M153" s="79" t="str">
        <x:v>https://noticias.stf.jus.br/postsnoticias/stf-autoriza-9a-fase-da-operacao-compliance-zero-em-sp-ba-e-df/</x:v>
      </x:c>
    </x:row>
    <x:row r="154" ht="54" customHeight="1">
      <x:c r="A154" s="71" t="str">
        <x:v>Victor Freitas</x:v>
      </x:c>
      <x:c r="B154" s="71" t="str">
        <x:v>Política/Assessoria</x:v>
      </x:c>
      <x:c r="C154" s="71" t="str">
        <x:v>Apontado como assessor de Ciro Nogueira</x:v>
      </x:c>
      <x:c r="D154" s="71" t="str">
        <x:v>C — agenda apenas</x:v>
      </x:c>
      <x:c r="E154" s="71" t="str">
        <x:v>Contato salvo</x:v>
      </x:c>
      <x:c r="F154" s="71" t="str">
        <x:v>Nome aparece na agenda periciada.</x:v>
      </x:c>
      <x:c r="G154" s="71" t="str">
        <x:v>A fonte-base não comprova interação específica ou irregularidade.</x:v>
      </x:c>
      <x:c r="H154" s="71" t="str">
        <x:v>Sem imputação identificada na fonte-base</x:v>
      </x:c>
      <x:c r="I154" s="78" t="n">
        <x:v>2</x:v>
      </x:c>
      <x:c r="J154" s="71" t="str">
        <x:v>Nacional/setorial</x:v>
      </x:c>
      <x:c r="K154" s="71" t="str">
        <x:v>Possível ponte operacional com liderança partidária nacional.</x:v>
      </x:c>
      <x:c r="L154" s="80" t="str">
        <x:v>https://www.poder360.com.br/poder-justica/agenda-de-vorcaro-tinha-toffoli-moraes-e-nunes-marques-leia-a-lista/</x:v>
      </x:c>
      <x:c r="M154" s="80" t="str"/>
    </x:row>
    <x:row r="155" ht="54" customHeight="1">
      <x:c r="A155" s="72" t="str">
        <x:v>Viviane Barci de Moraes</x:v>
      </x:c>
      <x:c r="B155" s="72" t="str">
        <x:v>Advocacia</x:v>
      </x:c>
      <x:c r="C155" s="72" t="str">
        <x:v>Advogada; sócia de escritório e esposa de Alexandre de Moraes</x:v>
      </x:c>
      <x:c r="D155" s="72" t="str">
        <x:v>A — direto confirmado</x:v>
      </x:c>
      <x:c r="E155" s="72" t="str">
        <x:v>Agenda e contratos</x:v>
      </x:c>
      <x:c r="F155" s="72" t="str">
        <x:v>Consta da agenda; seu escritório celebrou contrato com o Master, com pagamentos documentados. Relatório também descreve segunda tratativa envolvendo Viking/aeronaves.</x:v>
      </x:c>
      <x:c r="G155" s="72" t="str">
        <x:v>O escritório afirma ter prestado serviços jurídicos lícitos, nega conflito e diz que a segunda proposta não foi aceita nem assinada.</x:v>
      </x:c>
      <x:c r="H155" s="72" t="str">
        <x:v>Relação profissional documentada; controvérsia sob análise</x:v>
      </x:c>
      <x:c r="I155" s="77" t="n">
        <x:v>4</x:v>
      </x:c>
      <x:c r="J155" s="72" t="str">
        <x:v>Nacional</x:v>
      </x:c>
      <x:c r="K155" s="72" t="str">
        <x:v>Advogada com conexão familiar direta à cúpula do STF e contrato de alto valor.</x:v>
      </x:c>
      <x:c r="L155" s="79" t="str">
        <x:v>https://www.poder360.com.br/poder-justica/agenda-de-vorcaro-tinha-toffoli-moraes-e-nunes-marques-leia-a-lista/</x:v>
      </x:c>
      <x:c r="M155" s="79" t="str">
        <x:v>https://static.poder360.com.br/uploads/2026/09/pet16662_relatorio_pf_celular_vorcaro_moraes_gonet_andrei_barci.pdf</x:v>
      </x:c>
    </x:row>
    <x:row r="156" ht="54" customHeight="1">
      <x:c r="A156" s="71" t="str">
        <x:v>Walfrido Warde</x:v>
      </x:c>
      <x:c r="B156" s="71" t="str">
        <x:v>Advocacia</x:v>
      </x:c>
      <x:c r="C156" s="71" t="str">
        <x:v>Advogado empresarial</x:v>
      </x:c>
      <x:c r="D156" s="71" t="str">
        <x:v>C — agenda apenas</x:v>
      </x:c>
      <x:c r="E156" s="71" t="str">
        <x:v>Contato salvo</x:v>
      </x:c>
      <x:c r="F156" s="71" t="str">
        <x:v>Nome aparece na agenda periciada.</x:v>
      </x:c>
      <x:c r="G156" s="71" t="str">
        <x:v>A fonte-base não demonstra contratação ou irregularidade.</x:v>
      </x:c>
      <x:c r="H156" s="71" t="str">
        <x:v>Sem imputação identificada na fonte-base</x:v>
      </x:c>
      <x:c r="I156" s="78" t="n">
        <x:v>4</x:v>
      </x:c>
      <x:c r="J156" s="71" t="str">
        <x:v>Nacional</x:v>
      </x:c>
      <x:c r="K156" s="71" t="str">
        <x:v>Advogado influente em disputas societárias e institucionais.</x:v>
      </x:c>
      <x:c r="L156" s="80" t="str">
        <x:v>https://www.poder360.com.br/poder-justica/agenda-de-vorcaro-tinha-toffoli-moraes-e-nunes-marques-leia-a-lista/</x:v>
      </x:c>
      <x:c r="M156" s="80" t="str"/>
    </x:row>
    <x:row r="157" ht="54" customHeight="1">
      <x:c r="A157" s="72" t="str">
        <x:v>Wesley Batista</x:v>
      </x:c>
      <x:c r="B157" s="72" t="str">
        <x:v>Negócios</x:v>
      </x:c>
      <x:c r="C157" s="72" t="str">
        <x:v>Empresário; acionista da J&amp;F/JBS</x:v>
      </x:c>
      <x:c r="D157" s="72" t="str">
        <x:v>C — agenda apenas</x:v>
      </x:c>
      <x:c r="E157" s="72" t="str">
        <x:v>Contato salvo</x:v>
      </x:c>
      <x:c r="F157" s="72" t="str">
        <x:v>Nome aparece na agenda periciada.</x:v>
      </x:c>
      <x:c r="G157" s="72" t="str">
        <x:v>A agenda não demonstra conversa, negócio ou irregularidade.</x:v>
      </x:c>
      <x:c r="H157" s="72" t="str">
        <x:v>Sem imputação identificada na fonte-base</x:v>
      </x:c>
      <x:c r="I157" s="77" t="n">
        <x:v>5</x:v>
      </x:c>
      <x:c r="J157" s="72" t="str">
        <x:v>Global</x:v>
      </x:c>
      <x:c r="K157" s="72" t="str">
        <x:v>Controla um dos maiores grupos empresariais brasileiros, com presença mundial.</x:v>
      </x:c>
      <x:c r="L157" s="79" t="str">
        <x:v>https://www.poder360.com.br/poder-justica/agenda-de-vorcaro-tinha-toffoli-moraes-e-nunes-marques-leia-a-lista/</x:v>
      </x:c>
      <x:c r="M157" s="79" t="str"/>
    </x:row>
  </x:sheetData>
  <x:mergeCells>
    <x:mergeCell ref="A1:M2"/>
    <x:mergeCell ref="A3:M3"/>
    <x:mergeCell ref="A5:M5"/>
  </x:mergeCells>
  <x:conditionalFormatting sqref="D7:D157">
    <x:cfRule type="containsText" dxfId="0" priority="1" operator="containsText" text="A —"/>
    <x:cfRule type="containsText" dxfId="1" priority="2" operator="containsText" text="B —"/>
    <x:cfRule type="containsText" dxfId="2" priority="3" operator="containsText" text="C —"/>
    <x:cfRule type="containsText" dxfId="3" priority="4" operator="containsText" text="D —"/>
    <x:cfRule type="containsText" dxfId="4" priority="5" operator="containsText" text="E —"/>
  </x:conditionalFormatting>
  <x:conditionalFormatting sqref="I7:I157">
    <x:cfRule type="dataBar" priority="6">
      <x:dataBar>
        <x:cfvo type="min"/>
        <x:cfvo type="max"/>
        <x:color rgb="FF2457A6"/>
      </x:dataBar>
      <x:extLst>
        <x:ext xmlns:x14="http://schemas.microsoft.com/office/spreadsheetml/2009/9/main" uri="{B025F937-C7B1-47D3-B67F-A62EFF666E3E}">
          <x14:id>{EB24EA97-368E-558A-5EEB-EDAF6282C68E}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4594566388a41a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EB24EA97-368E-558A-5EEB-EDAF6282C68E}">
            <x14:dataBar gradient="1">
              <x14:cfvo type="min"/>
              <x14:cfvo type="max"/>
              <x14:fillColor rgb="FF2457A6"/>
            </x14:dataBar>
          </x14:cfRule>
          <xm:sqref>I7:I157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70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58" t="str">
        <x:v>MÉTODO, LIMITES E FONTES</x:v>
      </x:c>
      <x:c r="B1" s="58"/>
      <x:c r="C1" s="58"/>
      <x:c r="D1" s="58"/>
      <x:c r="E1" s="58"/>
      <x:c r="F1" s="58"/>
    </x:row>
    <x:row r="2" ht="24" customHeight="1">
      <x:c r="A2" s="58"/>
      <x:c r="B2" s="58"/>
      <x:c r="C2" s="58"/>
      <x:c r="D2" s="58"/>
      <x:c r="E2" s="58"/>
      <x:c r="F2" s="58"/>
    </x:row>
    <x:row r="3" ht="24" customHeight="1"/>
    <x:row r="4" ht="24" customHeight="1">
      <x:c r="A4" s="82" t="str">
        <x:v>Regra de ouro: proximidade não é culpa</x:v>
      </x:c>
      <x:c r="B4" s="82"/>
      <x:c r="C4" s="82"/>
      <x:c r="D4" s="82"/>
      <x:c r="E4" s="82"/>
      <x:c r="F4" s="82"/>
    </x:row>
    <x:row r="5" ht="24" customHeight="1">
      <x:c r="A5" s="35" t="str">
        <x:v>A agenda periciada informa que um nome/número foi salvo ou materializado em aparelhos e papéis. Isso não prova conversa, favor, interferência ou crime. Reuniões, mensagens, contratos e pagamentos elevam o grau de confirmação do elo, mas ainda precisam de contexto e contraditório. A nota de relevância mede poder institucional/econômico, não culpabilidade.</x:v>
      </x:c>
      <x:c r="B5" s="36"/>
      <x:c r="C5" s="36"/>
      <x:c r="D5" s="36"/>
      <x:c r="E5" s="36"/>
      <x:c r="F5" s="37"/>
    </x:row>
    <x:row r="6" ht="24" customHeight="1">
      <x:c r="A6" s="38"/>
      <x:c r="B6" s="39"/>
      <x:c r="C6" s="39"/>
      <x:c r="D6" s="39"/>
      <x:c r="E6" s="39"/>
      <x:c r="F6" s="40"/>
    </x:row>
    <x:row r="7" ht="24" customHeight="1">
      <x:c r="A7" s="38"/>
      <x:c r="B7" s="39"/>
      <x:c r="C7" s="39"/>
      <x:c r="D7" s="39"/>
      <x:c r="E7" s="39"/>
      <x:c r="F7" s="40"/>
    </x:row>
    <x:row r="8" ht="24" customHeight="1">
      <x:c r="A8" s="41"/>
      <x:c r="B8" s="42"/>
      <x:c r="C8" s="42"/>
      <x:c r="D8" s="42"/>
      <x:c r="E8" s="42"/>
      <x:c r="F8" s="43"/>
    </x:row>
    <x:row r="9" ht="24" customHeight="1"/>
    <x:row r="10" ht="24" customHeight="1">
      <x:c r="A10" s="65" t="str">
        <x:v>Grau</x:v>
      </x:c>
      <x:c r="B10" s="65" t="str">
        <x:v>Leitura</x:v>
      </x:c>
      <x:c r="C10" s="65" t="str">
        <x:v>Critério</x:v>
      </x:c>
      <x:c r="D10" s="65" t="str">
        <x:v>O que NÃO significa</x:v>
      </x:c>
      <x:c r="E10" s="65" t="str">
        <x:v>Exemplo de base</x:v>
      </x:c>
      <x:c r="F10" s="65" t="str">
        <x:v>Cor</x:v>
      </x:c>
    </x:row>
    <x:row r="11" ht="24" customHeight="1">
      <x:c r="A11" s="47" t="str">
        <x:v>A</x:v>
      </x:c>
      <x:c r="B11" s="47" t="str">
        <x:v>Direto confirmado</x:v>
      </x:c>
      <x:c r="C11" s="47" t="str">
        <x:v>Encontro, conversa, contrato, pagamento, sociedade ou intermediação documentada/admitida</x:v>
      </x:c>
      <x:c r="D11" s="47" t="str">
        <x:v>Culpa</x:v>
      </x:c>
      <x:c r="E11" s="47" t="str">
        <x:v>Mensagem + admissão</x:v>
      </x:c>
      <x:c r="F11" s="47" t="str">
        <x:v>Verde</x:v>
      </x:c>
    </x:row>
    <x:row r="12" ht="24" customHeight="1">
      <x:c r="A12" s="47" t="str">
        <x:v>B</x:v>
      </x:c>
      <x:c r="B12" s="47" t="str">
        <x:v>Direto controvertido</x:v>
      </x:c>
      <x:c r="C12" s="47" t="str">
        <x:v>Material registra o elo, mas identidade, contexto ou finalidade está em disputa</x:v>
      </x:c>
      <x:c r="D12" s="47" t="str">
        <x:v>Favorecimento provado</x:v>
      </x:c>
      <x:c r="E12" s="47" t="str">
        <x:v>Relatório PF</x:v>
      </x:c>
      <x:c r="F12" s="47" t="str">
        <x:v>Azul</x:v>
      </x:c>
    </x:row>
    <x:row r="13" ht="24" customHeight="1">
      <x:c r="A13" s="47" t="str">
        <x:v>C</x:v>
      </x:c>
      <x:c r="B13" s="47" t="str">
        <x:v>Agenda apenas</x:v>
      </x:c>
      <x:c r="C13" s="47" t="str">
        <x:v>Nome/número salvo</x:v>
      </x:c>
      <x:c r="D13" s="47" t="str">
        <x:v>Que houve conversa</x:v>
      </x:c>
      <x:c r="E13" s="47" t="str">
        <x:v>Arquivo VCF/captura</x:v>
      </x:c>
      <x:c r="F13" s="47" t="str">
        <x:v>Amarelo</x:v>
      </x:c>
    </x:row>
    <x:row r="14" ht="24" customHeight="1">
      <x:c r="A14" s="47" t="str">
        <x:v>D</x:v>
      </x:c>
      <x:c r="B14" s="47" t="str">
        <x:v>Indireto/potencial</x:v>
      </x:c>
      <x:c r="C14" s="47" t="str">
        <x:v>Empresa, familiar, evento, intermediário ou alegação sob investigação</x:v>
      </x:c>
      <x:c r="D14" s="47" t="str">
        <x:v>Contato pessoal</x:v>
      </x:c>
      <x:c r="E14" s="47" t="str">
        <x:v>Evento/fluxo indireto</x:v>
      </x:c>
      <x:c r="F14" s="47" t="str">
        <x:v>Roxo</x:v>
      </x:c>
    </x:row>
    <x:row r="15" ht="24" customHeight="1">
      <x:c r="A15" s="47" t="str">
        <x:v>E</x:v>
      </x:c>
      <x:c r="B15" s="47" t="str">
        <x:v>Fraco/corrigido</x:v>
      </x:c>
      <x:c r="C15" s="47" t="str">
        <x:v>Alias, sinal isolado ou associação corrigida</x:v>
      </x:c>
      <x:c r="D15" s="47" t="str">
        <x:v>Fato estabelecido</x:v>
      </x:c>
      <x:c r="E15" s="47" t="str">
        <x:v>Identidade não confirmada</x:v>
      </x:c>
      <x:c r="F15" s="47" t="str">
        <x:v>Vermelho</x:v>
      </x:c>
    </x:row>
    <x:row r="16" ht="24" customHeight="1"/>
    <x:row r="17" ht="24" customHeight="1">
      <x:c r="A17" s="44" t="str">
        <x:v>Escala de relevância</x:v>
      </x:c>
      <x:c r="B17" s="44"/>
      <x:c r="C17" s="44"/>
      <x:c r="D17" s="44"/>
      <x:c r="E17" s="44"/>
      <x:c r="F17" s="44"/>
    </x:row>
    <x:row r="18" ht="24" customHeight="1">
      <x:c r="A18" s="85" t="n">
        <x:v>5</x:v>
      </x:c>
      <x:c r="B18" s="47" t="str">
        <x:v>Ápice do Estado/economia ou projeção global</x:v>
      </x:c>
      <x:c r="C18" s="47" t="str">
        <x:v>Ex.: Presidência, STF, comando do Congresso/BC, controladores globais</x:v>
      </x:c>
      <x:c r="D18" s="47" t="str"/>
      <x:c r="E18" s="47" t="str"/>
      <x:c r="F18" s="47" t="str"/>
    </x:row>
    <x:row r="19" ht="24" customHeight="1">
      <x:c r="A19" s="85" t="n">
        <x:v>4</x:v>
      </x:c>
      <x:c r="B19" s="47" t="str">
        <x:v>Influência nacional estratégica</x:v>
      </x:c>
      <x:c r="C19" s="47" t="str">
        <x:v>Ministros, senadores, governadores, STJ, grandes executivos/mídia</x:v>
      </x:c>
      <x:c r="D19" s="47" t="str"/>
      <x:c r="E19" s="47" t="str"/>
      <x:c r="F19" s="47" t="str"/>
    </x:row>
    <x:row r="20" ht="24" customHeight="1">
      <x:c r="A20" s="85" t="n">
        <x:v>3</x:v>
      </x:c>
      <x:c r="B20" s="47" t="str">
        <x:v>Influência setorial relevante</x:v>
      </x:c>
      <x:c r="C20" s="47" t="str">
        <x:v>Deputados, operadores, fundadores e executivos especializados</x:v>
      </x:c>
      <x:c r="D20" s="47" t="str"/>
      <x:c r="E20" s="47" t="str"/>
      <x:c r="F20" s="47" t="str"/>
    </x:row>
    <x:row r="21" ht="24" customHeight="1">
      <x:c r="A21" s="85" t="n">
        <x:v>2</x:v>
      </x:c>
      <x:c r="B21" s="47" t="str">
        <x:v>Papel operacional/regional</x:v>
      </x:c>
      <x:c r="C21" s="47" t="str">
        <x:v>Assessores, familiares, logística ou elo especializado</x:v>
      </x:c>
      <x:c r="D21" s="47" t="str"/>
      <x:c r="E21" s="47" t="str"/>
      <x:c r="F21" s="47" t="str"/>
    </x:row>
    <x:row r="22" ht="24" customHeight="1">
      <x:c r="A22" s="85" t="n">
        <x:v>1</x:v>
      </x:c>
      <x:c r="B22" s="47" t="str">
        <x:v>Privado ou não identificado</x:v>
      </x:c>
      <x:c r="C22" s="47" t="str">
        <x:v>Identidade/cargo incerto; sem base para medir poder</x:v>
      </x:c>
      <x:c r="D22" s="47" t="str"/>
      <x:c r="E22" s="47" t="str"/>
      <x:c r="F22" s="47" t="str"/>
    </x:row>
    <x:row r="23" ht="24" customHeight="1"/>
    <x:row r="24" ht="24" customHeight="1">
      <x:c r="A24" s="44" t="str">
        <x:v>Fontes principais</x:v>
      </x:c>
      <x:c r="B24" s="44"/>
      <x:c r="C24" s="44"/>
      <x:c r="D24" s="44"/>
      <x:c r="E24" s="44"/>
      <x:c r="F24" s="44"/>
    </x:row>
    <x:row r="25" ht="24" customHeight="1">
      <x:c r="A25" s="70" t="str">
        <x:v>Agenda periciada (84 registros brutos)</x:v>
      </x:c>
      <x:c r="B25" s="86" t="str">
        <x:v>https://www.poder360.com.br/poder-justica/agenda-de-vorcaro-tinha-toffoli-moraes-e-nunes-marques-leia-a-lista/</x:v>
      </x:c>
      <x:c r="C25" s="70" t="str">
        <x:v>Lista-base; presença não prova conversa</x:v>
      </x:c>
    </x:row>
    <x:row r="26" ht="24" customHeight="1">
      <x:c r="A26" s="70" t="str">
        <x:v>Relatório PF de celulares — 218 páginas</x:v>
      </x:c>
      <x:c r="B26" s="86" t="str">
        <x:v>https://static.poder360.com.br/uploads/2026/09/pet16662_relatorio_pf_celular_vorcaro_moraes_gonet_andrei_barci.pdf</x:v>
      </x:c>
      <x:c r="C26" s="70" t="str">
        <x:v>Fonte primária; análise não exaustiva e sujeita a revisão</x:v>
      </x:c>
    </x:row>
    <x:row r="27" ht="24" customHeight="1">
      <x:c r="A27" s="70" t="str">
        <x:v>Glossário político atualizado</x:v>
      </x:c>
      <x:c r="B27" s="86" t="str">
        <x:v>https://www.gazetadopovo.com.br/ideias/moraes-gonet-veja-lista-atualizada-quem-envolveu-vorcaro/</x:v>
      </x:c>
      <x:c r="C27" s="70" t="str">
        <x:v>Relações, valores e contrapontos</x:v>
      </x:c>
    </x:row>
    <x:row r="28" ht="24" customHeight="1">
      <x:c r="A28" s="70" t="str">
        <x:v>STF — fases da Compliance Zero</x:v>
      </x:c>
      <x:c r="B28" s="86" t="str">
        <x:v>https://noticias.stf.jus.br/postsnoticias/stf-atende-a-pedido-da-pf-e-determina-prisao-de-daniel-vorcaro-e-outros-investigados-por-supostas-fraudes-no-banco-master/</x:v>
      </x:c>
      <x:c r="C28" s="70" t="str">
        <x:v>Fonte oficial sobre medidas investigativas</x:v>
      </x:c>
    </x:row>
    <x:row r="29" ht="24" customHeight="1">
      <x:c r="A29" s="70" t="str">
        <x:v>STF — fase Ciro Nogueira</x:v>
      </x:c>
      <x:c r="B29" s="86" t="str">
        <x:v>https://noticias.stf.jus.br/postsnoticias/stf-autoriza-nova-fase-da-operacao-compliance-zero/</x:v>
      </x:c>
      <x:c r="C29" s="70" t="str">
        <x:v>Fonte oficial</x:v>
      </x:c>
    </x:row>
    <x:row r="30" ht="24" customHeight="1">
      <x:c r="A30" s="70" t="str">
        <x:v>STF — fase Jaques Wagner</x:v>
      </x:c>
      <x:c r="B30" s="86" t="str">
        <x:v>https://noticias.stf.jus.br/postsnoticias/stf-autoriza-9a-fase-da-operacao-compliance-zero-em-sp-ba-e-df/</x:v>
      </x:c>
      <x:c r="C30" s="70" t="str">
        <x:v>Fonte oficial</x:v>
      </x:c>
    </x:row>
    <x:row r="31" ht="24" customHeight="1">
      <x:c r="A31" s="70" t="str">
        <x:v>Eventos internacionais</x:v>
      </x:c>
      <x:c r="B31" s="86" t="str">
        <x:v>https://www1.folha.uol.com.br/mercado/2026/04/master-gastou-r-60-milhoes-com-autoridades-da-republica-em-londres-nova-york-e-lisboa.shtml</x:v>
      </x:c>
      <x:c r="C31" s="70" t="str">
        <x:v>Presença classificada como vínculo indireto</x:v>
      </x:c>
    </x:row>
    <x:row r="32" ht="24" customHeight="1">
      <x:c r="A32" s="70" t="str">
        <x:v>Fábio Faria como intermediário</x:v>
      </x:c>
      <x:c r="B32" s="86" t="str">
        <x:v>https://www.cnnbrasil.com.br/blogs/jussara-soares/politica/fabio-faria-intermediou-contatos-entre-moraes-e-vorcaro-diz-pf/</x:v>
      </x:c>
      <x:c r="C32" s="70" t="str">
        <x:v>Corroborada por relatório PF/Piauí</x:v>
      </x:c>
    </x:row>
    <x:row r="33" ht="24" customHeight="1">
      <x:c r="A33" s="70" t="str">
        <x:v>Nikolas Ferreira — versão própria</x:v>
      </x:c>
      <x:c r="B33" s="86" t="str">
        <x:v>https://noticias.uol.com.br/politica/ultimas-noticias/2026/09/03/nikolas-ferreira-daniel-vorcaro-resposta.ghtm</x:v>
      </x:c>
      <x:c r="C33" s="70" t="str">
        <x:v>Admissão de dois contatos e negativa de valores</x:v>
      </x:c>
    </x:row>
    <x:row r="34" ht="24" customHeight="1">
      <x:c r="A34" s="70" t="str">
        <x:v>Paulo Gonet — negativa</x:v>
      </x:c>
      <x:c r="B34" s="86" t="str">
        <x:v>https://www1.folha.uol.com.br/colunas/monicabergamo/2026/09/gonet-dira-a-conselho-da-pgr-que-nunca-manteve-relacao-com-vorcaro.shtml</x:v>
      </x:c>
      <x:c r="C34" s="70" t="str">
        <x:v>Nega relação pessoal/profissional/financeira</x:v>
      </x:c>
    </x:row>
    <x:row r="35" ht="24" customHeight="1">
      <x:c r="A35" s="70" t="str">
        <x:v>Brazil Journal — identidade controvertida</x:v>
      </x:c>
      <x:c r="B35" s="86" t="str">
        <x:v>https://iclnoticias.com.br/moraes-pediu-inclusao-em-materia-tony-blair/</x:v>
      </x:c>
      <x:c r="C35" s="70" t="str">
        <x:v>PF não confirmou usuário do contato</x:v>
      </x:c>
    </x:row>
    <x:row r="36" ht="24" customHeight="1">
      <x:c r="A36" s="70" t="str">
        <x:v>Dark Horse/Entre Investments</x:v>
      </x:c>
      <x:c r="B36" s="86" t="str">
        <x:v>https://www1.folha.uol.com.br/poder/2026/09/pgr-fecha-delacao-com-empresario-que-fez-pagamentos-a-fundo-que-financiaria-dark-horse.shtml</x:v>
      </x:c>
      <x:c r="C36" s="70" t="str">
        <x:v>Colaboração depende de homologação/corroboracão</x:v>
      </x:c>
    </x:row>
    <x:row r="37" ht="24" customHeight="1">
      <x:c r="A37" s="70" t="str">
        <x:v>Publicidade Ratinho/Ratinho Jr.</x:v>
      </x:c>
      <x:c r="B37" s="86" t="str">
        <x:v>https://www1.folha.uol.com.br/colunas/painel/2026/09/empresa-que-tem-ratinho-e-ratinho-jr-como-socios-recebeu-pagamentos-do-banco-master.shtml</x:v>
      </x:c>
      <x:c r="C37" s="70" t="str">
        <x:v>Empresa afirma relação exclusivamente comercial</x:v>
      </x:c>
    </x:row>
    <x:row r="38" ht="24" customHeight="1"/>
    <x:row r="39" ht="24" customHeight="1"/>
    <x:row r="40" ht="24" customHeight="1"/>
  </x:sheetData>
  <x:mergeCells>
    <x:mergeCell ref="A1:F2"/>
    <x:mergeCell ref="A4:F4"/>
    <x:mergeCell ref="A5:F8"/>
    <x:mergeCell ref="A17:F17"/>
    <x:mergeCell ref="C18:F18"/>
    <x:mergeCell ref="C19:F19"/>
    <x:mergeCell ref="C20:F20"/>
    <x:mergeCell ref="C21:F21"/>
    <x:mergeCell ref="C22:F22"/>
    <x:mergeCell ref="A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10" hidden="0" customWidth="1"/>
    <x:col min="5" max="5" width="45" hidden="0" customWidth="1"/>
    <x:col min="6" max="6" width="4" hidden="0" customWidth="1"/>
    <x:col min="7" max="7" width="30" hidden="0" customWidth="1"/>
    <x:col min="8" max="8" width="40" hidden="0" customWidth="1"/>
    <x:col min="9" max="9" width="12" hidden="0" customWidth="1"/>
    <x:col min="10" max="10" width="38" hidden="0" customWidth="1"/>
  </x:cols>
  <x:sheetData>
    <x:row r="1" ht="34" customHeight="1">
      <x:c r="A1" s="88" t="str">
        <x:v>LEITURA RÁPIDA — ONDE ESTÁ A DENSIDADE DA REDE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34" customHeight="1">
      <x:c r="A2" s="88"/>
      <x:c r="B2" s="88"/>
      <x:c r="C2" s="88"/>
      <x:c r="D2" s="88"/>
      <x:c r="E2" s="88"/>
      <x:c r="F2" s="88"/>
      <x:c r="G2" s="88"/>
      <x:c r="H2" s="88"/>
      <x:c r="I2" s="88"/>
      <x:c r="J2" s="88"/>
    </x:row>
    <x:row r="3" ht="34" customHeight="1"/>
    <x:row r="4" ht="34" customHeight="1">
      <x:c r="A4" s="5" t="str">
        <x:v>Esses recortes mostram poder e evidência separadamente. Não são ranking de culpabilidade.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34" customHeight="1"/>
    <x:row r="6" ht="34" customHeight="1">
      <x:c r="A6" s="65" t="str">
        <x:v>Elo</x:v>
      </x:c>
      <x:c r="B6" s="65" t="str">
        <x:v>Pessoa</x:v>
      </x:c>
      <x:c r="C6" s="65" t="str">
        <x:v>Papel na rede</x:v>
      </x:c>
      <x:c r="D6" s="65" t="str">
        <x:v>Força</x:v>
      </x:c>
      <x:c r="E6" s="65" t="str">
        <x:v>Por que olhar</x:v>
      </x:c>
      <x:c r="G6" s="65" t="str">
        <x:v>Poder 5</x:v>
      </x:c>
      <x:c r="H6" s="65" t="str">
        <x:v>Cargo/papel</x:v>
      </x:c>
      <x:c r="I6" s="65" t="str">
        <x:v>Grau do elo</x:v>
      </x:c>
      <x:c r="J6" s="65" t="str">
        <x:v>Leitura correta</x:v>
      </x:c>
    </x:row>
    <x:row r="7" ht="34" customHeight="1">
      <x:c r="A7" s="47" t="str">
        <x:v>Intermediação</x:v>
      </x:c>
      <x:c r="B7" s="47" t="str">
        <x:v>Fábio Faria</x:v>
      </x:c>
      <x:c r="C7" s="47" t="str">
        <x:v>Vorcaro ↔ Moraes</x:v>
      </x:c>
      <x:c r="D7" s="47" t="str">
        <x:v>A</x:v>
      </x:c>
      <x:c r="E7" s="47" t="str">
        <x:v>Ponte explícita em mensagens e encontros</x:v>
      </x:c>
      <x:c r="G7" s="47" t="str">
        <x:v>Alexandre de Moraes</x:v>
      </x:c>
      <x:c r="H7" s="47" t="str">
        <x:v>Ministro do STF</x:v>
      </x:c>
      <x:c r="I7" s="47" t="str">
        <x:v>A</x:v>
      </x:c>
      <x:c r="J7" s="47" t="str">
        <x:v>Poder alto e elo documentado</x:v>
      </x:c>
    </x:row>
    <x:row r="8" ht="34" customHeight="1">
      <x:c r="A8" s="47" t="str">
        <x:v>Intermediação</x:v>
      </x:c>
      <x:c r="B8" s="47" t="str">
        <x:v>Ciro Rocha Soares</x:v>
      </x:c>
      <x:c r="C8" s="47" t="str">
        <x:v>Vorcaro ↔ Gonet/Mendonça</x:v>
      </x:c>
      <x:c r="D8" s="47" t="str">
        <x:v>A</x:v>
      </x:c>
      <x:c r="E8" s="47" t="str">
        <x:v>Ponte jurídica e institucional</x:v>
      </x:c>
      <x:c r="G8" s="47" t="str">
        <x:v>André Mendonça</x:v>
      </x:c>
      <x:c r="H8" s="47" t="str">
        <x:v>Ministro do STF</x:v>
      </x:c>
      <x:c r="I8" s="47" t="str">
        <x:v>A</x:v>
      </x:c>
      <x:c r="J8" s="47" t="str">
        <x:v>Poder alto e elo documentado</x:v>
      </x:c>
    </x:row>
    <x:row r="9" ht="34" customHeight="1">
      <x:c r="A9" s="47" t="str">
        <x:v>Política</x:v>
      </x:c>
      <x:c r="B9" s="47" t="str">
        <x:v>Ciro Nogueira</x:v>
      </x:c>
      <x:c r="C9" s="47" t="str">
        <x:v>Rede partidária</x:v>
      </x:c>
      <x:c r="D9" s="47" t="str">
        <x:v>A</x:v>
      </x:c>
      <x:c r="E9" s="47" t="str">
        <x:v>Proximidade e benefícios alegados</x:v>
      </x:c>
      <x:c r="G9" s="47" t="str">
        <x:v>Andrei Rodrigues</x:v>
      </x:c>
      <x:c r="H9" s="47" t="str">
        <x:v>Diretor-geral da Polícia Federal</x:v>
      </x:c>
      <x:c r="I9" s="47" t="str">
        <x:v>B</x:v>
      </x:c>
      <x:c r="J9" s="47" t="str">
        <x:v>Poder alto e elo documentado</x:v>
      </x:c>
    </x:row>
    <x:row r="10" ht="34" customHeight="1">
      <x:c r="A10" s="47" t="str">
        <x:v>Política</x:v>
      </x:c>
      <x:c r="B10" s="47" t="str">
        <x:v>Hugo Motta</x:v>
      </x:c>
      <x:c r="C10" s="47" t="str">
        <x:v>Câmara</x:v>
      </x:c>
      <x:c r="D10" s="47" t="str">
        <x:v>A</x:v>
      </x:c>
      <x:c r="E10" s="47" t="str">
        <x:v>Mensagens, encontros e viagem</x:v>
      </x:c>
      <x:c r="G10" s="47" t="str">
        <x:v>Ciro Nogueira</x:v>
      </x:c>
      <x:c r="H10" s="47" t="str">
        <x:v>Senador; presidente do PP</x:v>
      </x:c>
      <x:c r="I10" s="47" t="str">
        <x:v>A</x:v>
      </x:c>
      <x:c r="J10" s="47" t="str">
        <x:v>Poder alto e elo documentado</x:v>
      </x:c>
    </x:row>
    <x:row r="11" ht="34" customHeight="1">
      <x:c r="A11" s="47" t="str">
        <x:v>Economia</x:v>
      </x:c>
      <x:c r="B11" s="47" t="str">
        <x:v>Guido Mantega</x:v>
      </x:c>
      <x:c r="C11" s="47" t="str">
        <x:v>Venda ao BRB/Planalto</x:v>
      </x:c>
      <x:c r="D11" s="47" t="str">
        <x:v>A</x:v>
      </x:c>
      <x:c r="E11" s="47" t="str">
        <x:v>Consultoria e acesso ao Executivo</x:v>
      </x:c>
      <x:c r="G11" s="47" t="str">
        <x:v>Cláudio Castro</x:v>
      </x:c>
      <x:c r="H11" s="47" t="str">
        <x:v>Governador do Rio de Janeiro</x:v>
      </x:c>
      <x:c r="I11" s="47" t="str">
        <x:v>B</x:v>
      </x:c>
      <x:c r="J11" s="47" t="str">
        <x:v>Poder alto e elo documentado</x:v>
      </x:c>
    </x:row>
    <x:row r="12" ht="34" customHeight="1">
      <x:c r="A12" s="47" t="str">
        <x:v>Judiciário</x:v>
      </x:c>
      <x:c r="B12" s="47" t="str">
        <x:v>Alexandre de Moraes</x:v>
      </x:c>
      <x:c r="C12" s="47" t="str">
        <x:v>Autoridade + contrato familiar</x:v>
      </x:c>
      <x:c r="D12" s="47" t="str">
        <x:v>A</x:v>
      </x:c>
      <x:c r="E12" s="47" t="str">
        <x:v>Maior sobreposição de reuniões e contratos</x:v>
      </x:c>
      <x:c r="G12" s="47" t="str">
        <x:v>Davi Alcolumbre</x:v>
      </x:c>
      <x:c r="H12" s="47" t="str">
        <x:v>Presidente do Senado</x:v>
      </x:c>
      <x:c r="I12" s="47" t="str">
        <x:v>B</x:v>
      </x:c>
      <x:c r="J12" s="47" t="str">
        <x:v>Poder alto e elo documentado</x:v>
      </x:c>
    </x:row>
    <x:row r="13" ht="34" customHeight="1">
      <x:c r="A13" s="47" t="str">
        <x:v>Jurídico</x:v>
      </x:c>
      <x:c r="B13" s="47" t="str">
        <x:v>Viviane Barci de Moraes</x:v>
      </x:c>
      <x:c r="C13" s="47" t="str">
        <x:v>Contrato com Master</x:v>
      </x:c>
      <x:c r="D13" s="47" t="str">
        <x:v>A</x:v>
      </x:c>
      <x:c r="E13" s="47" t="str">
        <x:v>Relação profissional documentada</x:v>
      </x:c>
      <x:c r="G13" s="47" t="str">
        <x:v>Dias Toffoli</x:v>
      </x:c>
      <x:c r="H13" s="47" t="str">
        <x:v>Ministro do STF</x:v>
      </x:c>
      <x:c r="I13" s="47" t="str">
        <x:v>B</x:v>
      </x:c>
      <x:c r="J13" s="47" t="str">
        <x:v>Poder alto e elo documentado</x:v>
      </x:c>
    </x:row>
    <x:row r="14" ht="34" customHeight="1">
      <x:c r="A14" s="47" t="str">
        <x:v>Operação</x:v>
      </x:c>
      <x:c r="B14" s="47" t="str">
        <x:v>Fabiano Zettel</x:v>
      </x:c>
      <x:c r="C14" s="47" t="str">
        <x:v>Núcleo familiar/financeiro</x:v>
      </x:c>
      <x:c r="D14" s="47" t="str">
        <x:v>A</x:v>
      </x:c>
      <x:c r="E14" s="47" t="str">
        <x:v>Coordenação de contratos/pagamentos</x:v>
      </x:c>
      <x:c r="G14" s="47" t="str">
        <x:v>Flávio Bolsonaro</x:v>
      </x:c>
      <x:c r="H14" s="47" t="str">
        <x:v>Senador</x:v>
      </x:c>
      <x:c r="I14" s="47" t="str">
        <x:v>A</x:v>
      </x:c>
      <x:c r="J14" s="47" t="str">
        <x:v>Poder alto e elo documentado</x:v>
      </x:c>
    </x:row>
    <x:row r="15" ht="34" customHeight="1">
      <x:c r="A15" s="47" t="str">
        <x:v>Finanças</x:v>
      </x:c>
      <x:c r="B15" s="47" t="str">
        <x:v>João Carlos Mansur</x:v>
      </x:c>
      <x:c r="C15" s="47" t="str">
        <x:v>Fundos/Reag</x:v>
      </x:c>
      <x:c r="D15" s="47" t="str">
        <x:v>B</x:v>
      </x:c>
      <x:c r="E15" s="47" t="str">
        <x:v>Pode explicar veículos financeiros</x:v>
      </x:c>
      <x:c r="G15" s="47" t="str">
        <x:v>Gabriel Galípolo</x:v>
      </x:c>
      <x:c r="H15" s="47" t="str">
        <x:v>Presidente do Banco Central</x:v>
      </x:c>
      <x:c r="I15" s="47" t="str">
        <x:v>B</x:v>
      </x:c>
      <x:c r="J15" s="47" t="str">
        <x:v>Poder alto e elo documentado</x:v>
      </x:c>
    </x:row>
    <x:row r="16" ht="34" customHeight="1">
      <x:c r="A16" s="47" t="str">
        <x:v>Estado</x:v>
      </x:c>
      <x:c r="B16" s="47" t="str">
        <x:v>Paulo Henrique Costa</x:v>
      </x:c>
      <x:c r="C16" s="47" t="str">
        <x:v>BRB–Master</x:v>
      </x:c>
      <x:c r="D16" s="47" t="str">
        <x:v>B</x:v>
      </x:c>
      <x:c r="E16" s="47" t="str">
        <x:v>Contraparte central da operação bancária</x:v>
      </x:c>
      <x:c r="G16" s="47" t="str">
        <x:v>Gilmar Mendes</x:v>
      </x:c>
      <x:c r="H16" s="47" t="str">
        <x:v>Ministro do STF</x:v>
      </x:c>
      <x:c r="I16" s="47" t="str">
        <x:v>E</x:v>
      </x:c>
      <x:c r="J16" s="47" t="str">
        <x:v>Muito poder, elo não necessariamente forte</x:v>
      </x:c>
    </x:row>
    <x:row r="17" ht="34" customHeight="1">
      <x:c r="G17" s="47" t="str">
        <x:v>Guido Mantega</x:v>
      </x:c>
      <x:c r="H17" s="47" t="str">
        <x:v>Ex-ministro da Fazenda</x:v>
      </x:c>
      <x:c r="I17" s="47" t="str">
        <x:v>A</x:v>
      </x:c>
      <x:c r="J17" s="47" t="str">
        <x:v>Poder alto e elo documentado</x:v>
      </x:c>
    </x:row>
    <x:row r="18" ht="34" customHeight="1">
      <x:c r="G18" s="47" t="str">
        <x:v>Henrique Meirelles</x:v>
      </x:c>
      <x:c r="H18" s="47" t="str">
        <x:v>Ex-presidente do BC e ex-ministro da Fazenda</x:v>
      </x:c>
      <x:c r="I18" s="47" t="str">
        <x:v>A</x:v>
      </x:c>
      <x:c r="J18" s="47" t="str">
        <x:v>Poder alto e elo documentado</x:v>
      </x:c>
    </x:row>
    <x:row r="19" ht="34" customHeight="1">
      <x:c r="G19" s="47" t="str">
        <x:v>Hugo Motta</x:v>
      </x:c>
      <x:c r="H19" s="47" t="str">
        <x:v>Presidente da Câmara dos Deputados</x:v>
      </x:c>
      <x:c r="I19" s="47" t="str">
        <x:v>A</x:v>
      </x:c>
      <x:c r="J19" s="47" t="str">
        <x:v>Poder alto e elo documentado</x:v>
      </x:c>
    </x:row>
    <x:row r="20" ht="34" customHeight="1">
      <x:c r="G20" s="47" t="str">
        <x:v>Ibaneis Rocha</x:v>
      </x:c>
      <x:c r="H20" s="47" t="str">
        <x:v>Governador do Distrito Federal</x:v>
      </x:c>
      <x:c r="I20" s="47" t="str">
        <x:v>A</x:v>
      </x:c>
      <x:c r="J20" s="47" t="str">
        <x:v>Poder alto e elo documentado</x:v>
      </x:c>
    </x:row>
    <x:row r="21" ht="34" customHeight="1"/>
    <x:row r="22" ht="34" customHeight="1"/>
    <x:row r="23" ht="34" customHeight="1"/>
    <x:row r="24" ht="34" customHeight="1"/>
  </x:sheetData>
  <x:mergeCells>
    <x:mergeCell ref="A1:J2"/>
    <x:mergeCell ref="A4:J4"/>
  </x:mergeCells>
  <x:pageMargins left="0.7" right="0.7" top="0.75" bottom="0.75" header="0.3" footer="0.3"/>
</x:worksheet>
</file>